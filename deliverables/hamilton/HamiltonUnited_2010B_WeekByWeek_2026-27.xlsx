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Year Plan" sheetId="2" state="visible" r:id="rId4"/>
    <sheet name="Principles" sheetId="3" state="visible" r:id="rId5"/>
    <sheet name="Sessions" sheetId="4" state="visible" r:id="rId6"/>
    <sheet name="Week Template" sheetId="5" state="visible" r:id="rId7"/>
    <sheet name="Summary" sheetId="6" state="visible" r:id="rId8"/>
  </sheets>
  <definedNames>
    <definedName function="false" hidden="true" localSheetId="3" name="_xlnm._FilterDatabase" vbProcedure="false">Sessions!$A$4:$M$52</definedName>
    <definedName function="false" hidden="true" localSheetId="1" name="_xlnm._FilterDatabase" vbProcedure="false">'Year Plan'!$A$4:$R$56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Planned relative load, 1 low – 5 high, 0 = rest. Planning target set by the coach; edit freely.</t>
        </r>
      </text>
    </comment>
  </commentList>
</comments>
</file>

<file path=xl/sharedStrings.xml><?xml version="1.0" encoding="utf-8"?>
<sst xmlns="http://schemas.openxmlformats.org/spreadsheetml/2006/main" count="1501" uniqueCount="798">
  <si>
    <t xml:space="preserve">Hamilton United 2010 Boys OPDL — Week-by-Week Plan 2026/27</t>
  </si>
  <si>
    <t xml:space="preserve">Coach Gianfranco Mirto · Nov 2, 2026 → Oct 31, 2027 · 52 weeks</t>
  </si>
  <si>
    <t xml:space="preserve">Tabs</t>
  </si>
  <si>
    <t xml:space="preserve">Year Plan</t>
  </si>
  <si>
    <t xml:space="preserve">One row per week: phase, theme, moments, the core principles trained, weekly objective and what each training day looks like.</t>
  </si>
  <si>
    <t xml:space="preserve">Principles</t>
  </si>
  <si>
    <t xml:space="preserve">The 23 core principles from the game model chart: when each is installed, how many weeks train it, and the first week (formulas).</t>
  </si>
  <si>
    <t xml:space="preserve">Sessions</t>
  </si>
  <si>
    <t xml:space="preserve">The example key session for every week (Wednesday, MD-3): objective, learning intentions, success criteria, and a 90-minute plan.</t>
  </si>
  <si>
    <t xml:space="preserve">Week Template</t>
  </si>
  <si>
    <t xml:space="preserve">The training week: what each day is for, its space, numbers and load.</t>
  </si>
  <si>
    <t xml:space="preserve">Summary</t>
  </si>
  <si>
    <t xml:space="preserve">Weeks per phase and monthly planned load (formulas), with a load chart.</t>
  </si>
  <si>
    <t xml:space="preserve">How to edit</t>
  </si>
  <si>
    <t xml:space="preserve">Blue cells on Year Plan (Volume, Intensity) are planning inputs: change them and the Summary updates. Edit any session text freely.</t>
  </si>
  <si>
    <t xml:space="preserve">Example row</t>
  </si>
  <si>
    <t xml:space="preserve">Week 1 (Nov 2) shows the format: one “Find ways to…” objective, a key session on the Sessions tab, and short Tue/Thu companions.</t>
  </si>
  <si>
    <t xml:space="preserve">Sources</t>
  </si>
  <si>
    <t xml:space="preserve">Nov–Apr themes, objectives and session objectives 1–7: coach’s Google Doc “Session Objectives” (6-Month Tactical Periodization).</t>
  </si>
  <si>
    <t xml:space="preserve">Game model (1-3-4-3, moments, principles): coach’s Game Model Part 1 &amp; 2. May–Oct blocks: drafted to extend the plan; review before use.</t>
  </si>
  <si>
    <t xml:space="preserve">Assumptions</t>
  </si>
  <si>
    <t xml:space="preserve">4 sessions × 90 min (Mon, Tue, Wed, Thu); Saturday game; Friday and Sunday off.</t>
  </si>
  <si>
    <t xml:space="preserve">OPDL competition dates, the mid-season break (two weeks from Jul 19) and the season end are placeholders: confirm against the OPDL fixture list.</t>
  </si>
  <si>
    <t xml:space="preserve">Load: planned relative values, 1 = low, 5 = high; 0 = rest week. Planning targets only. Track real load with session RPE × minutes.</t>
  </si>
  <si>
    <t xml:space="preserve">Holiday weeks: Dec 21 optional programme, Dec 28 off.</t>
  </si>
  <si>
    <t xml:space="preserve">Pitch sizes in yards. Success criteria are coaching targets for the session, not measured statistics.</t>
  </si>
  <si>
    <t xml:space="preserve">Moments</t>
  </si>
  <si>
    <t xml:space="preserve">AO attacking organization</t>
  </si>
  <si>
    <t xml:space="preserve">AT attacking transition</t>
  </si>
  <si>
    <t xml:space="preserve">DO defensive organization</t>
  </si>
  <si>
    <t xml:space="preserve">DT defensive transition</t>
  </si>
  <si>
    <t xml:space="preserve">Year Plan — week by week</t>
  </si>
  <si>
    <t xml:space="preserve">Key session each week = Wednesday (MD-3), detailed on the Sessions tab. Amber rows = competition phase.</t>
  </si>
  <si>
    <t xml:space="preserve">Wk</t>
  </si>
  <si>
    <t xml:space="preserve">Week of (Mon)</t>
  </si>
  <si>
    <t xml:space="preserve">Month</t>
  </si>
  <si>
    <t xml:space="preserve">Phase</t>
  </si>
  <si>
    <t xml:space="preserve">Theme</t>
  </si>
  <si>
    <t xml:space="preserve">Session obj. #</t>
  </si>
  <si>
    <t xml:space="preserve">Core principles trained</t>
  </si>
  <si>
    <t xml:space="preserve">Weekly objective</t>
  </si>
  <si>
    <t xml:space="preserve">Mon · MD+2 Recover</t>
  </si>
  <si>
    <t xml:space="preserve">Tue · MD-4 Strength</t>
  </si>
  <si>
    <t xml:space="preserve">Wed · MD-3 Endurance (key)</t>
  </si>
  <si>
    <t xml:space="preserve">Thu · MD-2 Speed</t>
  </si>
  <si>
    <t xml:space="preserve">Sat · Game</t>
  </si>
  <si>
    <t xml:space="preserve">Physical focus</t>
  </si>
  <si>
    <t xml:space="preserve">Volume (1–5)</t>
  </si>
  <si>
    <t xml:space="preserve">Intensity (1–5)</t>
  </si>
  <si>
    <t xml:space="preserve">Notes / checkpoints</t>
  </si>
  <si>
    <t xml:space="preserve">Nov</t>
  </si>
  <si>
    <t xml:space="preserve">Development 1</t>
  </si>
  <si>
    <t xml:space="preserve">Create solutions</t>
  </si>
  <si>
    <t xml:space="preserve">AO + DO</t>
  </si>
  <si>
    <t xml:space="preserve">3, 6</t>
  </si>
  <si>
    <t xml:space="preserve">AO Purpose · AO Width/depth · AO Support</t>
  </si>
  <si>
    <t xml:space="preserve">Find ways to create passing options around, through and beyond the opposition.</t>
  </si>
  <si>
    <t xml:space="preserve">Technical: rondos, passing patterns, 1v1 moves; intro to the week’s problem</t>
  </si>
  <si>
    <t xml:space="preserve">5v5 + 2 neutrals (25x20 yd), 4 x 4 min: defending team protects a central gate</t>
  </si>
  <si>
    <t xml:space="preserve">KEY SESSION · Passing options: width, depth, support (see Sessions tab)</t>
  </si>
  <si>
    <t xml:space="preserve">1v1 and 2v1 to goal, 6–8 s reps, full recovery; finishing both feet</t>
  </si>
  <si>
    <t xml:space="preserve">Winter game or internal scrimmage (confirm)</t>
  </si>
  <si>
    <t xml:space="preserve">Movement quality, strength base</t>
  </si>
  <si>
    <t xml:space="preserve">Baseline week: film the Saturday game for the November baseline</t>
  </si>
  <si>
    <t xml:space="preserve">AO Overloads · AO Support · AO Purpose</t>
  </si>
  <si>
    <t xml:space="preserve">Find ways to create and exploit numerical advantages to progress the ball forward.</t>
  </si>
  <si>
    <t xml:space="preserve">4v4 + 4 bumpers (30x25 yd): play through the bumpers to switch the point of attack</t>
  </si>
  <si>
    <t xml:space="preserve">KEY SESSION · The +1 at the back (see Sessions tab)</t>
  </si>
  <si>
    <t xml:space="preserve">Speed: 10–20 yd sprints with a ball, then finishing from cut-backs</t>
  </si>
  <si>
    <t xml:space="preserve">2, 3</t>
  </si>
  <si>
    <t xml:space="preserve">AO Play through/around/over · AO Width/depth</t>
  </si>
  <si>
    <t xml:space="preserve">Find ways to progress the ball by recognizing when to play through, around or over the opposition.</t>
  </si>
  <si>
    <t xml:space="preserve">6v6 compact block (35x30 yd): defenders deny central gates; attackers look for gaps</t>
  </si>
  <si>
    <t xml:space="preserve">KEY SESSION · Through, around or over (see Sessions tab)</t>
  </si>
  <si>
    <t xml:space="preserve">Transition: 3v2 counter waves, 8-second limit to shoot</t>
  </si>
  <si>
    <t xml:space="preserve">DO</t>
  </si>
  <si>
    <t xml:space="preserve">6</t>
  </si>
  <si>
    <t xml:space="preserve">DO Compact</t>
  </si>
  <si>
    <t xml:space="preserve">Find ways to prevent the opposition from progressing through central areas.</t>
  </si>
  <si>
    <t xml:space="preserve">4v4 + GKs (25x20 yd): press-cover-balance, 90-s bouts</t>
  </si>
  <si>
    <t xml:space="preserve">KEY SESSION · Protect the centre (see Sessions tab)</t>
  </si>
  <si>
    <t xml:space="preserve">Recovery runs: lose the ball, sprint back inside; 5 reps x 3</t>
  </si>
  <si>
    <t xml:space="preserve">AO Purpose · AO Support · DO Compact</t>
  </si>
  <si>
    <t xml:space="preserve">Find ways to create passing options and defend forward through compactness and pressure.</t>
  </si>
  <si>
    <t xml:space="preserve">5v5 + 2 neutrals: defending team protects the middle</t>
  </si>
  <si>
    <t xml:space="preserve">KEY SESSION · Consolidate: where do I help the team? (see Sessions tab)</t>
  </si>
  <si>
    <t xml:space="preserve">Speed: reaction starts + 1v1 duels; first look at making play predictable (force wide)</t>
  </si>
  <si>
    <t xml:space="preserve">Block review at month end: compare with baseline</t>
  </si>
  <si>
    <t xml:space="preserve">Dec</t>
  </si>
  <si>
    <t xml:space="preserve">Break lines</t>
  </si>
  <si>
    <t xml:space="preserve">AO</t>
  </si>
  <si>
    <t xml:space="preserve">2</t>
  </si>
  <si>
    <t xml:space="preserve">AO Combinations · AO Runners in front &amp; behind</t>
  </si>
  <si>
    <t xml:space="preserve">Find ways to break lines through purposeful movement and combination play.</t>
  </si>
  <si>
    <t xml:space="preserve">5v5 + 2 inside neutrals (30x25 yd): neutrals must receive between the lines</t>
  </si>
  <si>
    <t xml:space="preserve">KEY SESSION · Third-man combinations (see Sessions tab)</t>
  </si>
  <si>
    <t xml:space="preserve">Finishing from third-man runs; speed off the shoulder</t>
  </si>
  <si>
    <t xml:space="preserve">Strength, aerobic base</t>
  </si>
  <si>
    <t xml:space="preserve">AO Manipulate · AO Runners in front &amp; behind · DO Make play predictable</t>
  </si>
  <si>
    <t xml:space="preserve">Find ways to create space by manipulating the opposition’s defensive structure.</t>
  </si>
  <si>
    <t xml:space="preserve">DO: 6v6 with trap zones; press on triggers (back pass, poor touch, ball to a fullback)</t>
  </si>
  <si>
    <t xml:space="preserve">KEY SESSION · Manipulate to create space (see Sessions tab)</t>
  </si>
  <si>
    <t xml:space="preserve">Short sprints + finishing; light load before the holidays</t>
  </si>
  <si>
    <t xml:space="preserve">Block review: Development 1</t>
  </si>
  <si>
    <t xml:space="preserve">Holiday</t>
  </si>
  <si>
    <t xml:space="preserve">—</t>
  </si>
  <si>
    <t xml:space="preserve">Optional: individual programme and futsal.</t>
  </si>
  <si>
    <t xml:space="preserve">No game</t>
  </si>
  <si>
    <t xml:space="preserve">Lighter week: individual programme sent home</t>
  </si>
  <si>
    <t xml:space="preserve">Rest.</t>
  </si>
  <si>
    <t xml:space="preserve">Full rest</t>
  </si>
  <si>
    <t xml:space="preserve">Jan</t>
  </si>
  <si>
    <t xml:space="preserve">Development 2</t>
  </si>
  <si>
    <t xml:space="preserve">Win it back</t>
  </si>
  <si>
    <t xml:space="preserve">DO Press · DO Step forward · DO Win high</t>
  </si>
  <si>
    <t xml:space="preserve">Find ways to regain possession by coordinating pressure around the ball.</t>
  </si>
  <si>
    <t xml:space="preserve">4v4 duels (25x20 yd), 1-min bouts: aggressive contact on the receiver</t>
  </si>
  <si>
    <t xml:space="preserve">KEY SESSION · Press, cover, balance (see Sessions tab)</t>
  </si>
  <si>
    <t xml:space="preserve">Speed and agility: COD drills, 5–10 yd reaction sprints</t>
  </si>
  <si>
    <t xml:space="preserve">Speed, agility</t>
  </si>
  <si>
    <t xml:space="preserve">DT</t>
  </si>
  <si>
    <t xml:space="preserve">7</t>
  </si>
  <si>
    <t xml:space="preserve">DT React &amp; repress · DT Contact · DT Deny</t>
  </si>
  <si>
    <t xml:space="preserve">Find ways to immediately regain possession following a loss of the ball.</t>
  </si>
  <si>
    <t xml:space="preserve">3v3 transition boxes, 45-s bouts</t>
  </si>
  <si>
    <t xml:space="preserve">KEY SESSION · React and repress (see Sessions tab)</t>
  </si>
  <si>
    <t xml:space="preserve">Repeat sprints: transition runs, 6 x 20 yd</t>
  </si>
  <si>
    <t xml:space="preserve">DO Make play predictable · DO Press · DO Win high</t>
  </si>
  <si>
    <t xml:space="preserve">Find ways to force the opposition into predictable areas to regain possession.</t>
  </si>
  <si>
    <t xml:space="preserve">5v5: force inside game (central trap)</t>
  </si>
  <si>
    <t xml:space="preserve">KEY SESSION · Make play predictable (see Sessions tab)</t>
  </si>
  <si>
    <t xml:space="preserve">Agility + finishing after regains</t>
  </si>
  <si>
    <t xml:space="preserve">DT + DO</t>
  </si>
  <si>
    <t xml:space="preserve">DT Recover shape · DT Deny · DO Protect</t>
  </si>
  <si>
    <t xml:space="preserve">Find ways to delay the opposition’s attack and protect the space behind.</t>
  </si>
  <si>
    <t xml:space="preserve">4v4 + recovering player</t>
  </si>
  <si>
    <t xml:space="preserve">KEY SESSION · Delay and protect behind (see Sessions tab)</t>
  </si>
  <si>
    <t xml:space="preserve">Speed: recovery sprints inside, 5 x 30 yd</t>
  </si>
  <si>
    <t xml:space="preserve">Feb</t>
  </si>
  <si>
    <t xml:space="preserve">Connect the moments</t>
  </si>
  <si>
    <t xml:space="preserve">All 4</t>
  </si>
  <si>
    <t xml:space="preserve">5, 7</t>
  </si>
  <si>
    <t xml:space="preserve">AO Purpose · AO Overloads · DT React &amp; repress</t>
  </si>
  <si>
    <t xml:space="preserve">Find ways to connect building with an immediate reaction when we lose the ball.</t>
  </si>
  <si>
    <t xml:space="preserve">5v5 + 2 with switching roles</t>
  </si>
  <si>
    <t xml:space="preserve">KEY SESSION · Build → Lose → Repress (see Sessions tab)</t>
  </si>
  <si>
    <t xml:space="preserve">Power: jumps + short sprints; transition finishing</t>
  </si>
  <si>
    <t xml:space="preserve">Power, repeat sprints</t>
  </si>
  <si>
    <t xml:space="preserve">5, 6</t>
  </si>
  <si>
    <t xml:space="preserve">DO Press · AT Forward · AT Exploit</t>
  </si>
  <si>
    <t xml:space="preserve">Find ways to win the ball and attack before the opposition reorganizes.</t>
  </si>
  <si>
    <t xml:space="preserve">4v4 + 2 counter targets</t>
  </si>
  <si>
    <t xml:space="preserve">KEY SESSION · Defend → Win → Counter (see Sessions tab)</t>
  </si>
  <si>
    <t xml:space="preserve">Power: 10 yd accelerations + finishing</t>
  </si>
  <si>
    <t xml:space="preserve">Checkpoint: mid-year IDP meetings</t>
  </si>
  <si>
    <t xml:space="preserve">4, 7</t>
  </si>
  <si>
    <t xml:space="preserve">AO Runners in front &amp; behind · AO Combinations · DT Recover shape</t>
  </si>
  <si>
    <t xml:space="preserve">Find ways to finish attacks while protecting against the counter.</t>
  </si>
  <si>
    <t xml:space="preserve">6v6 two-goal game</t>
  </si>
  <si>
    <t xml:space="preserve">KEY SESSION · Progress → Final action → Defend the transition (see Sessions tab)</t>
  </si>
  <si>
    <t xml:space="preserve">Repeat sprints 6 x 30 yd</t>
  </si>
  <si>
    <t xml:space="preserve">DO Step forward · DO Win high · AT Forward</t>
  </si>
  <si>
    <t xml:space="preserve">Find ways to regain the ball high and turn it into a goal.</t>
  </si>
  <si>
    <t xml:space="preserve">5v5 press boxes</t>
  </si>
  <si>
    <t xml:space="preserve">KEY SESSION · Press → Regain → Attack (see Sessions tab)</t>
  </si>
  <si>
    <t xml:space="preserve">Power + finishing</t>
  </si>
  <si>
    <t xml:space="preserve">Mar</t>
  </si>
  <si>
    <t xml:space="preserve">Pre-competition</t>
  </si>
  <si>
    <t xml:space="preserve">Attack the moment</t>
  </si>
  <si>
    <t xml:space="preserve">AT</t>
  </si>
  <si>
    <t xml:space="preserve">5</t>
  </si>
  <si>
    <t xml:space="preserve">AT Forward · AT Exploit · AT Support</t>
  </si>
  <si>
    <t xml:space="preserve">Find ways to exploit numerical advantages immediately after winning possession.</t>
  </si>
  <si>
    <t xml:space="preserve">Recovery + technical: rondos, passing patterns, short video review</t>
  </si>
  <si>
    <t xml:space="preserve">4v4 transition boxes</t>
  </si>
  <si>
    <t xml:space="preserve">KEY SESSION · Exploit the numbers after a regain (see Sessions tab)</t>
  </si>
  <si>
    <t xml:space="preserve">Sprint + finish; pre-season volume</t>
  </si>
  <si>
    <t xml:space="preserve">Pre-season friendly</t>
  </si>
  <si>
    <t xml:space="preserve">Pre-season volume peak</t>
  </si>
  <si>
    <t xml:space="preserve">Pre-season begins</t>
  </si>
  <si>
    <t xml:space="preserve">AT Forward · AT Space · AT Support · AT Secure</t>
  </si>
  <si>
    <t xml:space="preserve">Find ways to progress forward quickly before the opposition can reorganize, and to secure possession when the attack is not on.</t>
  </si>
  <si>
    <t xml:space="preserve">5v5 + 2: switch on the regain</t>
  </si>
  <si>
    <t xml:space="preserve">KEY SESSION · Go now, or secure (see Sessions tab)</t>
  </si>
  <si>
    <t xml:space="preserve">Speed endurance 8 x 40 yd</t>
  </si>
  <si>
    <t xml:space="preserve">1</t>
  </si>
  <si>
    <t xml:space="preserve">AO Runners in front &amp; behind · AT Space</t>
  </si>
  <si>
    <t xml:space="preserve">Find ways to create final actions by getting behind the opposition’s back line.</t>
  </si>
  <si>
    <t xml:space="preserve">4v4 + 2 end-zone runners</t>
  </si>
  <si>
    <t xml:space="preserve">KEY SESSION · Get behind the back line (see Sessions tab)</t>
  </si>
  <si>
    <t xml:space="preserve">Speed off the mark + finishing 1v1 with the GK</t>
  </si>
  <si>
    <t xml:space="preserve">4</t>
  </si>
  <si>
    <t xml:space="preserve">AO Runners in front &amp; behind · AO Width/depth</t>
  </si>
  <si>
    <t xml:space="preserve">Find ways to attack the box with purposeful movements and coordinated runs.</t>
  </si>
  <si>
    <t xml:space="preserve">5v5 + wide players</t>
  </si>
  <si>
    <t xml:space="preserve">KEY SESSION · Attack the box (see Sessions tab)</t>
  </si>
  <si>
    <t xml:space="preserve">Finishing volume</t>
  </si>
  <si>
    <t xml:space="preserve">AO Combinations · AO Support</t>
  </si>
  <si>
    <t xml:space="preserve">Find ways to create finishing opportunities through quick combinations around the box.</t>
  </si>
  <si>
    <t xml:space="preserve">4v4 + 2 wall players</t>
  </si>
  <si>
    <t xml:space="preserve">KEY SESSION · Combine around the box (see Sessions tab)</t>
  </si>
  <si>
    <t xml:space="preserve">Finishing under fatigue</t>
  </si>
  <si>
    <t xml:space="preserve">Apr</t>
  </si>
  <si>
    <t xml:space="preserve">Execute our identity</t>
  </si>
  <si>
    <t xml:space="preserve">1–7</t>
  </si>
  <si>
    <t xml:space="preserve">AO Purpose · AT Secure · DO Compact · DT React &amp; repress</t>
  </si>
  <si>
    <t xml:space="preserve">Find ways to execute all four moments against different problems.</t>
  </si>
  <si>
    <t xml:space="preserve">6v6 all-moments game</t>
  </si>
  <si>
    <t xml:space="preserve">KEY SESSION · Moment switching (see Sessions tab)</t>
  </si>
  <si>
    <t xml:space="preserve">Taper: short and sharp</t>
  </si>
  <si>
    <t xml:space="preserve">Taper to game speed</t>
  </si>
  <si>
    <t xml:space="preserve">AO Overloads · AO Play through/around/over · AO Purpose</t>
  </si>
  <si>
    <t xml:space="preserve">Find ways to beat a high press with the 1-3-2 build.</t>
  </si>
  <si>
    <t xml:space="preserve">5v5 press-resistance</t>
  </si>
  <si>
    <t xml:space="preserve">KEY SESSION · Beat a high press (see Sessions tab)</t>
  </si>
  <si>
    <t xml:space="preserve">Speed + set-piece introduction</t>
  </si>
  <si>
    <t xml:space="preserve">2, 4</t>
  </si>
  <si>
    <t xml:space="preserve">AO Manipulate · AO Width/depth · AO Combinations</t>
  </si>
  <si>
    <t xml:space="preserve">Find ways to create chances against a low block.</t>
  </si>
  <si>
    <t xml:space="preserve">6v6 + 4 wide players</t>
  </si>
  <si>
    <t xml:space="preserve">KEY SESSION · Break a low block (see Sessions tab)</t>
  </si>
  <si>
    <t xml:space="preserve">Finishing from cut-backs</t>
  </si>
  <si>
    <t xml:space="preserve">All 4 + set pieces</t>
  </si>
  <si>
    <t xml:space="preserve">Set pieces · AO Purpose</t>
  </si>
  <si>
    <t xml:space="preserve">Find ways to bring the whole game model into match conditions.</t>
  </si>
  <si>
    <t xml:space="preserve">Light 6v6</t>
  </si>
  <si>
    <t xml:space="preserve">KEY SESSION · Game rehearsal (see Sessions tab)</t>
  </si>
  <si>
    <t xml:space="preserve">Activation + set pieces</t>
  </si>
  <si>
    <t xml:space="preserve">Checkpoint: pre-season review before the league</t>
  </si>
  <si>
    <t xml:space="preserve">May</t>
  </si>
  <si>
    <t xml:space="preserve">Competition 1</t>
  </si>
  <si>
    <t xml:space="preserve">Compete with identity</t>
  </si>
  <si>
    <t xml:space="preserve">AO Play through/around/over · AO Overloads</t>
  </si>
  <si>
    <t xml:space="preserve">Find ways to progress against different pressing shapes.</t>
  </si>
  <si>
    <t xml:space="preserve">Recovery: mobility, rondos 5v2 / 4v2, 10-min video review of Saturday (60–75 min)</t>
  </si>
  <si>
    <t xml:space="preserve">KEY SESSION · Beat their press (see Sessions tab)</t>
  </si>
  <si>
    <t xml:space="preserve">Speed + set pieces: attacking corners</t>
  </si>
  <si>
    <t xml:space="preserve">OPDL league game</t>
  </si>
  <si>
    <t xml:space="preserve">Maintain through the week</t>
  </si>
  <si>
    <t xml:space="preserve">League starts (confirm date)</t>
  </si>
  <si>
    <t xml:space="preserve">Find ways to attack the box with coordinated runs.</t>
  </si>
  <si>
    <t xml:space="preserve">Finishing + set pieces: free kicks</t>
  </si>
  <si>
    <t xml:space="preserve">Set pieces</t>
  </si>
  <si>
    <t xml:space="preserve">Find ways to create chances from attacking corners.</t>
  </si>
  <si>
    <t xml:space="preserve">6v6 + set-piece restarts</t>
  </si>
  <si>
    <t xml:space="preserve">KEY SESSION · Attacking corners (see Sessions tab)</t>
  </si>
  <si>
    <t xml:space="preserve">Speed + corner rehearsal</t>
  </si>
  <si>
    <t xml:space="preserve">Find ways to defend corners and free kicks with a zonal/man hybrid.</t>
  </si>
  <si>
    <t xml:space="preserve">6v6</t>
  </si>
  <si>
    <t xml:space="preserve">KEY SESSION · Defending set pieces (see Sessions tab)</t>
  </si>
  <si>
    <t xml:space="preserve">Speed + defending set pieces</t>
  </si>
  <si>
    <t xml:space="preserve">AO Combinations · AO Manipulate</t>
  </si>
  <si>
    <t xml:space="preserve">Find ways to break lines against a mid block.</t>
  </si>
  <si>
    <t xml:space="preserve">5v5 + 2 inside neutrals</t>
  </si>
  <si>
    <t xml:space="preserve">KEY SESSION · Progress against a mid block (see Sessions tab)</t>
  </si>
  <si>
    <t xml:space="preserve">Speed + set pieces</t>
  </si>
  <si>
    <t xml:space="preserve">Jun</t>
  </si>
  <si>
    <t xml:space="preserve">AT Forward · AT Exploit · AT Space · AT Secure</t>
  </si>
  <si>
    <t xml:space="preserve">Find ways to create goal-scoring opportunities within the first few actions after regaining possession.</t>
  </si>
  <si>
    <t xml:space="preserve">4v4 transitions</t>
  </si>
  <si>
    <t xml:space="preserve">KEY SESSION · Counter after the regain (see Sessions tab)</t>
  </si>
  <si>
    <t xml:space="preserve">DO Compact · DO Protect · DO Step forward · DO Win high</t>
  </si>
  <si>
    <t xml:space="preserve">Find ways to defend forward through compactness and pressure.</t>
  </si>
  <si>
    <t xml:space="preserve">4v4 press</t>
  </si>
  <si>
    <t xml:space="preserve">KEY SESSION · Protect the centre, win high (see Sessions tab)</t>
  </si>
  <si>
    <t xml:space="preserve">3v3 boxes</t>
  </si>
  <si>
    <t xml:space="preserve">KEY SESSION · Repress (see Sessions tab)</t>
  </si>
  <si>
    <t xml:space="preserve">Find ways to create scoring opportunities through combination play in the final third.</t>
  </si>
  <si>
    <t xml:space="preserve">4v4 + wall players</t>
  </si>
  <si>
    <t xml:space="preserve">KEY SESSION · Final-third combinations (see Sessions tab)</t>
  </si>
  <si>
    <t xml:space="preserve">Checkpoint: end-of-June review</t>
  </si>
  <si>
    <t xml:space="preserve">Jul</t>
  </si>
  <si>
    <t xml:space="preserve">Competition 2</t>
  </si>
  <si>
    <t xml:space="preserve">Adapt the plan</t>
  </si>
  <si>
    <t xml:space="preserve">2, 6</t>
  </si>
  <si>
    <t xml:space="preserve">AO Width/depth · AO Support · DO Compact</t>
  </si>
  <si>
    <t xml:space="preserve">Find ways to apply our principles in the 1-4-2-3-1.</t>
  </si>
  <si>
    <t xml:space="preserve">KEY SESSION · Introduce the 1-4-2-3-1 (see Sessions tab)</t>
  </si>
  <si>
    <t xml:space="preserve">Maintain; then rest</t>
  </si>
  <si>
    <t xml:space="preserve">AO Manipulate · DO Make play predictable</t>
  </si>
  <si>
    <t xml:space="preserve">Find ways to switch shape during a game.</t>
  </si>
  <si>
    <t xml:space="preserve">5v5</t>
  </si>
  <si>
    <t xml:space="preserve">KEY SESSION · Flip the triangle (see Sessions tab)</t>
  </si>
  <si>
    <t xml:space="preserve">Rest</t>
  </si>
  <si>
    <t xml:space="preserve">Mid-season break: align with the OPDL schedule gap</t>
  </si>
  <si>
    <t xml:space="preserve">Mid-season break</t>
  </si>
  <si>
    <t xml:space="preserve">Aug</t>
  </si>
  <si>
    <t xml:space="preserve">AT Support · DT Recover shape</t>
  </si>
  <si>
    <t xml:space="preserve">Find ways to reload fitness through game-based work.</t>
  </si>
  <si>
    <t xml:space="preserve">5v5 high volume</t>
  </si>
  <si>
    <t xml:space="preserve">KEY SESSION · Reload (see Sessions tab)</t>
  </si>
  <si>
    <t xml:space="preserve">Repeat sprints</t>
  </si>
  <si>
    <t xml:space="preserve">Friendly or league game</t>
  </si>
  <si>
    <t xml:space="preserve">Reload, then maintain</t>
  </si>
  <si>
    <t xml:space="preserve">Reload week</t>
  </si>
  <si>
    <t xml:space="preserve">AO Overloads · AO Runners in front &amp; behind</t>
  </si>
  <si>
    <t xml:space="preserve">Find ways to exploit a back four with our structure.</t>
  </si>
  <si>
    <t xml:space="preserve">KEY SESSION · Game plan vs a back four (see Sessions tab)</t>
  </si>
  <si>
    <t xml:space="preserve">AO Width/depth · AO Manipulate</t>
  </si>
  <si>
    <t xml:space="preserve">Find ways to beat a back three.</t>
  </si>
  <si>
    <t xml:space="preserve">KEY SESSION · Game plan vs a back three (see Sessions tab)</t>
  </si>
  <si>
    <t xml:space="preserve">AO Combinations · AO Play through/around/over</t>
  </si>
  <si>
    <t xml:space="preserve">Find ways to break lines in either system.</t>
  </si>
  <si>
    <t xml:space="preserve">KEY SESSION · Breaking lines in both systems (see Sessions tab)</t>
  </si>
  <si>
    <t xml:space="preserve">DO Press · DO Make play predictable · DO Step forward</t>
  </si>
  <si>
    <t xml:space="preserve">Find ways to press as a unit in either system.</t>
  </si>
  <si>
    <t xml:space="preserve">4v4</t>
  </si>
  <si>
    <t xml:space="preserve">KEY SESSION · Regaining possession in both systems (see Sessions tab)</t>
  </si>
  <si>
    <t xml:space="preserve">Sep</t>
  </si>
  <si>
    <t xml:space="preserve">Competition 3</t>
  </si>
  <si>
    <t xml:space="preserve">Peak &amp; review</t>
  </si>
  <si>
    <t xml:space="preserve">6, 7</t>
  </si>
  <si>
    <t xml:space="preserve">AT Secure · DO Compact · DO Protect · AO Purpose</t>
  </si>
  <si>
    <t xml:space="preserve">Find ways to manage a game when we are winning.</t>
  </si>
  <si>
    <t xml:space="preserve">KEY SESSION · Protect a lead (see Sessions tab)</t>
  </si>
  <si>
    <t xml:space="preserve">Peak</t>
  </si>
  <si>
    <t xml:space="preserve">1, 5</t>
  </si>
  <si>
    <t xml:space="preserve">AO Runners in front &amp; behind · DO Win high</t>
  </si>
  <si>
    <t xml:space="preserve">Find ways to create chances when we are losing.</t>
  </si>
  <si>
    <t xml:space="preserve">KEY SESSION · Chase a game (see Sessions tab)</t>
  </si>
  <si>
    <t xml:space="preserve">AT Forward · AT Exploit · AT Support · AT Space</t>
  </si>
  <si>
    <t xml:space="preserve">KEY SESSION · Sharpen the counter (see Sessions tab)</t>
  </si>
  <si>
    <t xml:space="preserve">Find ways to create scoring opportunities in the final third.</t>
  </si>
  <si>
    <t xml:space="preserve">KEY SESSION · Sharpen the final third (see Sessions tab)</t>
  </si>
  <si>
    <t xml:space="preserve">Oct</t>
  </si>
  <si>
    <t xml:space="preserve">DT React &amp; repress · DT Contact · DT Deny · DT Recover shape</t>
  </si>
  <si>
    <t xml:space="preserve">Find ways for players to solve problems without the coach.</t>
  </si>
  <si>
    <t xml:space="preserve">Players choose</t>
  </si>
  <si>
    <t xml:space="preserve">KEY SESSION · Player-led session (see Sessions tab)</t>
  </si>
  <si>
    <t xml:space="preserve">Peak, then active rest</t>
  </si>
  <si>
    <t xml:space="preserve">AO Purpose · DO Press · DT React &amp; repress · AT Secure</t>
  </si>
  <si>
    <t xml:space="preserve">Find ways to execute our identity in the final games.</t>
  </si>
  <si>
    <t xml:space="preserve">KEY SESSION · Final games (see Sessions tab)</t>
  </si>
  <si>
    <t xml:space="preserve">Activation</t>
  </si>
  <si>
    <t xml:space="preserve">OPDL league game (season end: confirm)</t>
  </si>
  <si>
    <t xml:space="preserve">End-of-season individual development reviews.</t>
  </si>
  <si>
    <t xml:space="preserve">Checkpoint: final IDP meetings</t>
  </si>
  <si>
    <t xml:space="preserve">Transition</t>
  </si>
  <si>
    <t xml:space="preserve">Transition: 3–4 weeks off before the next cycle</t>
  </si>
  <si>
    <t xml:space="preserve">Blue = planning inputs (edit). Competition dates and the mid-season break are placeholders: confirm against the OPDL fixture list.</t>
  </si>
  <si>
    <t xml:space="preserve">Core principles — coverage across the year</t>
  </si>
  <si>
    <t xml:space="preserve">The 23 principles from the game model chart. Weeks trained and first week are formulas on the Year Plan’s “Core principles trained” column.</t>
  </si>
  <si>
    <t xml:space="preserve">Moment</t>
  </si>
  <si>
    <t xml:space="preserve">Principle</t>
  </si>
  <si>
    <t xml:space="preserve">Tag (as used on Year Plan)</t>
  </si>
  <si>
    <t xml:space="preserve">What it means</t>
  </si>
  <si>
    <t xml:space="preserve">Installed (month)</t>
  </si>
  <si>
    <t xml:space="preserve">Weeks trained</t>
  </si>
  <si>
    <t xml:space="preserve">First week trained</t>
  </si>
  <si>
    <t xml:space="preserve">First week of (Mon)</t>
  </si>
  <si>
    <t xml:space="preserve">Purpose</t>
  </si>
  <si>
    <t xml:space="preserve">AO Purpose</t>
  </si>
  <si>
    <t xml:space="preserve">Possession with purpose</t>
  </si>
  <si>
    <t xml:space="preserve">Overloads</t>
  </si>
  <si>
    <t xml:space="preserve">AO Overloads</t>
  </si>
  <si>
    <t xml:space="preserve">Create &amp; exploit overloads</t>
  </si>
  <si>
    <t xml:space="preserve">Play through/around/over</t>
  </si>
  <si>
    <t xml:space="preserve">AO Play through/around/over</t>
  </si>
  <si>
    <t xml:space="preserve">Play through, around, or over</t>
  </si>
  <si>
    <t xml:space="preserve">Width/depth</t>
  </si>
  <si>
    <t xml:space="preserve">AO Width/depth</t>
  </si>
  <si>
    <t xml:space="preserve">Maintain width &amp; depth</t>
  </si>
  <si>
    <t xml:space="preserve">Runners in front &amp; behind</t>
  </si>
  <si>
    <t xml:space="preserve">AO Runners in front &amp; behind</t>
  </si>
  <si>
    <t xml:space="preserve">Make runs to receive or attack in behind</t>
  </si>
  <si>
    <t xml:space="preserve">Support</t>
  </si>
  <si>
    <t xml:space="preserve">AO Support</t>
  </si>
  <si>
    <t xml:space="preserve">Support &amp; passing options</t>
  </si>
  <si>
    <t xml:space="preserve">Combinations</t>
  </si>
  <si>
    <t xml:space="preserve">AO Combinations</t>
  </si>
  <si>
    <t xml:space="preserve">Third-man combinations</t>
  </si>
  <si>
    <t xml:space="preserve">Manipulate</t>
  </si>
  <si>
    <t xml:space="preserve">AO Manipulate</t>
  </si>
  <si>
    <t xml:space="preserve">Play across the game channel to move opposition players and create space</t>
  </si>
  <si>
    <t xml:space="preserve">Forward</t>
  </si>
  <si>
    <t xml:space="preserve">AT Forward</t>
  </si>
  <si>
    <t xml:space="preserve">First look forward</t>
  </si>
  <si>
    <t xml:space="preserve">Exploit</t>
  </si>
  <si>
    <t xml:space="preserve">AT Exploit</t>
  </si>
  <si>
    <t xml:space="preserve">Attack disorganization quickly</t>
  </si>
  <si>
    <t xml:space="preserve">AT Support</t>
  </si>
  <si>
    <t xml:space="preserve">Support the attack</t>
  </si>
  <si>
    <t xml:space="preserve">Space</t>
  </si>
  <si>
    <t xml:space="preserve">AT Space</t>
  </si>
  <si>
    <t xml:space="preserve">Exploit open space</t>
  </si>
  <si>
    <t xml:space="preserve">Secure</t>
  </si>
  <si>
    <t xml:space="preserve">AT Secure</t>
  </si>
  <si>
    <t xml:space="preserve">Secure possession if immediate attack is not on</t>
  </si>
  <si>
    <t xml:space="preserve">Compact</t>
  </si>
  <si>
    <t xml:space="preserve">Compact centrally</t>
  </si>
  <si>
    <t xml:space="preserve">Make play predictable</t>
  </si>
  <si>
    <t xml:space="preserve">DO Make play predictable</t>
  </si>
  <si>
    <t xml:space="preserve">Force wide or inside</t>
  </si>
  <si>
    <t xml:space="preserve">Press</t>
  </si>
  <si>
    <t xml:space="preserve">DO Press</t>
  </si>
  <si>
    <t xml:space="preserve">Press as a unit</t>
  </si>
  <si>
    <t xml:space="preserve">Protect</t>
  </si>
  <si>
    <t xml:space="preserve">DO Protect</t>
  </si>
  <si>
    <t xml:space="preserve">Protect between lines</t>
  </si>
  <si>
    <t xml:space="preserve">Step forward</t>
  </si>
  <si>
    <t xml:space="preserve">DO Step forward</t>
  </si>
  <si>
    <t xml:space="preserve">Step forward aggressively</t>
  </si>
  <si>
    <t xml:space="preserve">Win high</t>
  </si>
  <si>
    <t xml:space="preserve">DO Win high</t>
  </si>
  <si>
    <t xml:space="preserve">Win the ball in advanced areas</t>
  </si>
  <si>
    <t xml:space="preserve">React &amp; repress</t>
  </si>
  <si>
    <t xml:space="preserve">DT React &amp; repress</t>
  </si>
  <si>
    <t xml:space="preserve">React immediately and repress to win the ball back</t>
  </si>
  <si>
    <t xml:space="preserve">Contact</t>
  </si>
  <si>
    <t xml:space="preserve">DT Contact</t>
  </si>
  <si>
    <t xml:space="preserve">Make contact / close down</t>
  </si>
  <si>
    <t xml:space="preserve">Deny</t>
  </si>
  <si>
    <t xml:space="preserve">DT Deny</t>
  </si>
  <si>
    <t xml:space="preserve">Deny forward passes</t>
  </si>
  <si>
    <t xml:space="preserve">Recover shape</t>
  </si>
  <si>
    <t xml:space="preserve">DT Recover shape</t>
  </si>
  <si>
    <t xml:space="preserve">Recover shape quickly if unable to win the ball</t>
  </si>
  <si>
    <t xml:space="preserve">Principles never trained</t>
  </si>
  <si>
    <t xml:space="preserve">Installed month = when the principle is first taught as the main focus (periodization deck, slide 8). Earlier weeks may preview it, e.g. counters in February before AT is installed in March.</t>
  </si>
  <si>
    <t xml:space="preserve">Sessions — the example key session for each week (Wednesday, MD-3, 90 min)</t>
  </si>
  <si>
    <t xml:space="preserve">Structure: Objective → Learning intentions → Success criteria · Activation 15′ · Part 1 25′ (small-sided) · Part 2 25′ (expanded) · Game 20′ · Review 5′</t>
  </si>
  <si>
    <t xml:space="preserve">Week of</t>
  </si>
  <si>
    <t xml:space="preserve">Session title</t>
  </si>
  <si>
    <t xml:space="preserve">Core principles</t>
  </si>
  <si>
    <t xml:space="preserve">Session objective</t>
  </si>
  <si>
    <t xml:space="preserve">Learning intentions</t>
  </si>
  <si>
    <t xml:space="preserve">Success criteria</t>
  </si>
  <si>
    <t xml:space="preserve">Activation (15′)</t>
  </si>
  <si>
    <t xml:space="preserve">Part 1 · small-sided (25′)</t>
  </si>
  <si>
    <t xml:space="preserve">Part 2 · expanded (25′)</t>
  </si>
  <si>
    <t xml:space="preserve">Game (20′)</t>
  </si>
  <si>
    <t xml:space="preserve">Coaching question (review 5′)</t>
  </si>
  <si>
    <t xml:space="preserve">Passing options: width, depth, support</t>
  </si>
  <si>
    <t xml:space="preserve">Take width and depth early · Offer an angle to the ball carrier · Scan before receiving</t>
  </si>
  <si>
    <t xml:space="preserve">Ball carrier has 3 options (left, right, ahead) · Receivers open body to play forward</t>
  </si>
  <si>
    <t xml:space="preserve">Rondos 4v1 → 5v2 (10x10 yd), 2 touch, scan before receiving</t>
  </si>
  <si>
    <t xml:space="preserve">Positional game 6v6 + 3 floaters (40x35 yd): score by passing into an end-zone player. Wide players must stay in the wide channels.</t>
  </si>
  <si>
    <t xml:space="preserve">GK + 3 CBs + two 6s vs 4 pressers (half field): build in a 1-3-2 and score by passing into either of 2 mini-goals at halfway</t>
  </si>
  <si>
    <t xml:space="preserve">11v11 (or 9v9): a goal that started from a GK build-out counts double</t>
  </si>
  <si>
    <t xml:space="preserve">Where is the free player? Can I give the ball carrier another option?</t>
  </si>
  <si>
    <t xml:space="preserve">The +1 at the back</t>
  </si>
  <si>
    <t xml:space="preserve">Find the +1 · Attract pressure before releasing · Play to the free player</t>
  </si>
  <si>
    <t xml:space="preserve">Ball reaches the middle third with a free player facing forward 3+ times per block</t>
  </si>
  <si>
    <t xml:space="preserve">Rondo 4v2 + 1 middle player (12x12 yd): split pass through the middle = 2 points</t>
  </si>
  <si>
    <t xml:space="preserve">Zones game: 3v2 in zone 1 → 4v3 in zone 2 (3 zones across 50x35 yd). Progress only by creating the overload.</t>
  </si>
  <si>
    <t xml:space="preserve">1-3-2 build vs 1-3 front press + 3 counter-attackers: GK must be involved before the ball crosses zone 1</t>
  </si>
  <si>
    <t xml:space="preserve">11v11: every restart from our GK</t>
  </si>
  <si>
    <t xml:space="preserve">Where is the numerical advantage? Who is the +1?</t>
  </si>
  <si>
    <t xml:space="preserve">Through, around or over</t>
  </si>
  <si>
    <t xml:space="preserve">Read the press · Through when the central lane is open · Around when they’re compact · Over when space is behind</t>
  </si>
  <si>
    <t xml:space="preserve">Players choose the right option on 2 of every 3 progressions (coach tally)</t>
  </si>
  <si>
    <t xml:space="preserve">Passing triangles with a third-man release, both feet</t>
  </si>
  <si>
    <t xml:space="preserve">3-option game 7v7 + GKs (50x40 yd): central gate goal = through (3 pts), wide channel entry = around (2 pts), long ball to a target = over (1 pt)</t>
  </si>
  <si>
    <t xml:space="preserve">11 vs 8 build-out: coach changes the press (high / mid / low) and players must read it and pick the route</t>
  </si>
  <si>
    <t xml:space="preserve">11v11 conditioned: name the route (through, around, over) on each entry</t>
  </si>
  <si>
    <t xml:space="preserve">If we can’t play through, can we go around or over?</t>
  </si>
  <si>
    <t xml:space="preserve">Protect the centre</t>
  </si>
  <si>
    <t xml:space="preserve">Stay compact centrally · Shift together, ball side · Keep short distances between lines</t>
  </si>
  <si>
    <t xml:space="preserve">Opponents get fewer than 3 central entries per 5-min block</t>
  </si>
  <si>
    <t xml:space="preserve">Shadow shape: 1-5-2-3 shifting to the coach’s ball, then 1-5-4-1</t>
  </si>
  <si>
    <t xml:space="preserve">6v6 + GKs with 2 central gates: defenders win points by forcing play wide</t>
  </si>
  <si>
    <t xml:space="preserve">8v10 half field: we defend in the 1-5-2-3, regain and counter to 2 mini-goals</t>
  </si>
  <si>
    <t xml:space="preserve">11v11: points for regaining the ball in the middle third</t>
  </si>
  <si>
    <t xml:space="preserve">Where is the danger? Is the space behind me protected?</t>
  </si>
  <si>
    <t xml:space="preserve">Consolidate: where do I help the team?</t>
  </si>
  <si>
    <t xml:space="preserve">Link positioning with the ball and without it · Recover quickly and reorganize around the ball</t>
  </si>
  <si>
    <t xml:space="preserve">Team keeps its shape in both moments for full 5-min blocks</t>
  </si>
  <si>
    <t xml:space="preserve">Rondo 5v2 into 4v4 + 3 transition</t>
  </si>
  <si>
    <t xml:space="preserve">Positional game 7v7 + 3: lose it and the team must recover compactly within 5 s</t>
  </si>
  <si>
    <t xml:space="preserve">Phase play 1-3-4-3 vs 1-4-4-2: build, lose, defend in shape</t>
  </si>
  <si>
    <t xml:space="preserve">11v11 free: coach freezes play to check positions</t>
  </si>
  <si>
    <t xml:space="preserve">Where can I position myself to help the team?</t>
  </si>
  <si>
    <t xml:space="preserve">Receive between the lines with an open body · Use the third player to break a line · Play forward quickly</t>
  </si>
  <si>
    <t xml:space="preserve">3+ line-breaking passes per 5-min block</t>
  </si>
  <si>
    <t xml:space="preserve">Pattern play CB → 6 → 10 with poles; third-man lay-off and pass forward</t>
  </si>
  <si>
    <t xml:space="preserve">Lines rondo: 3 zones (4 + 4 + 4 with 2 defenders per zone). The ball must travel through the middle zone.</t>
  </si>
  <si>
    <t xml:space="preserve">7v7 + GK, half field: a goal scored after a third-man combination counts double</t>
  </si>
  <si>
    <t xml:space="preserve">11v11 conditioned: line-breaking pass = 1 point</t>
  </si>
  <si>
    <t xml:space="preserve">Can my movement free a teammate beyond the defender?</t>
  </si>
  <si>
    <t xml:space="preserve">Manipulate to create space</t>
  </si>
  <si>
    <t xml:space="preserve">Move away to create space for others · Switch play to unbalance · Move defenders before exploiting the space</t>
  </si>
  <si>
    <t xml:space="preserve">Opponents shift, then we exploit the space they leave, 3+ times per block</t>
  </si>
  <si>
    <t xml:space="preserve">Rondo 4v2 with a switch target on each side</t>
  </si>
  <si>
    <t xml:space="preserve">5v5 + 4 outside wide players (40x30 yd): switch play to unbalance the defence before scoring in end zones</t>
  </si>
  <si>
    <t xml:space="preserve">1-3-4-3 vs a 1-4-4-2 block: 10 drops, 9 pins, rotations open the half space</t>
  </si>
  <si>
    <t xml:space="preserve">11v11: DO team practices making play predictable (force wide or inside) on press triggers</t>
  </si>
  <si>
    <t xml:space="preserve">Did we move them before we went?</t>
  </si>
  <si>
    <t xml:space="preserve">Holiday week: optional</t>
  </si>
  <si>
    <t xml:space="preserve">Optional futsal or individual ball-mastery programme</t>
  </si>
  <si>
    <t xml:space="preserve">Press, cover, balance</t>
  </si>
  <si>
    <t xml:space="preserve">First defender pressures · Second covers · Third balances and cuts the pass</t>
  </si>
  <si>
    <t xml:space="preserve">Regain within 3 passes of a trigger, 3+ times per block</t>
  </si>
  <si>
    <t xml:space="preserve">2v1 → 2v2 pressing angles; curved runs to show inside or outside</t>
  </si>
  <si>
    <t xml:space="preserve">4v4 + 4 bumpers in small boxes: press as a unit on the trigger</t>
  </si>
  <si>
    <t xml:space="preserve">1-5-2-3 high press vs a 1-4-3-3 build-out, 11 vs 9: win it high, score within 10 s</t>
  </si>
  <si>
    <t xml:space="preserve">11v11: points for regains in the final third</t>
  </si>
  <si>
    <t xml:space="preserve">Who goes, who covers, who balances?</t>
  </si>
  <si>
    <t xml:space="preserve">React and repress</t>
  </si>
  <si>
    <t xml:space="preserve">React immediately · Press the ball carrier · Deny forward passes</t>
  </si>
  <si>
    <t xml:space="preserve">The team that loses the ball wins it back within 5 s on 50%+ of losses</t>
  </si>
  <si>
    <t xml:space="preserve">Rondo 5v2: the defender who wins it must win it back immediately</t>
  </si>
  <si>
    <t xml:space="preserve">5v5 + 2 (30x25 yd): a regain within 5 s of losing the ball = 1 point</t>
  </si>
  <si>
    <t xml:space="preserve">8v8 + GKs: repress first; if it fails, recover into a 1-5-4-1 behind a gate line</t>
  </si>
  <si>
    <t xml:space="preserve">11v11: count regains within 5 s</t>
  </si>
  <si>
    <t xml:space="preserve">Losing the ball: is it the start of our defending?</t>
  </si>
  <si>
    <t xml:space="preserve">Curved runs to show one way · Lock the side · Trap near the touchline</t>
  </si>
  <si>
    <t xml:space="preserve">2+ regains in the trap zones per block</t>
  </si>
  <si>
    <t xml:space="preserve">Pressing curves: 9 forces play wide; 10s jump</t>
  </si>
  <si>
    <t xml:space="preserve">6v6 with wide trap zones: a regain in a trap zone = 2 points</t>
  </si>
  <si>
    <t xml:space="preserve">10v10: 1-5-2-3 forces play wide and traps with the WB + 10 + 6</t>
  </si>
  <si>
    <t xml:space="preserve">11v11 conditioned on trap zones</t>
  </si>
  <si>
    <t xml:space="preserve">Where do we want them to go?</t>
  </si>
  <si>
    <t xml:space="preserve">Delay and protect behind</t>
  </si>
  <si>
    <t xml:space="preserve">Nearest player delays, doesn’t dive in · Others recover inside · Back line drops to protect depth</t>
  </si>
  <si>
    <t xml:space="preserve">Opponents get no shots in the first 8 s after we lose it</t>
  </si>
  <si>
    <t xml:space="preserve">1v1 jockeying; recovery run angles</t>
  </si>
  <si>
    <t xml:space="preserve">2v3 → 3v4 recovering defenders: delay until help arrives</t>
  </si>
  <si>
    <t xml:space="preserve">Transition game 9v9: lose it → nearest delays, rest recover inside, back 5 holds the line</t>
  </si>
  <si>
    <t xml:space="preserve">11v11: count the counter-attacks we conceded</t>
  </si>
  <si>
    <t xml:space="preserve">If we can’t win it, how do we protect the goal?</t>
  </si>
  <si>
    <t xml:space="preserve">Build → Lose → Repress</t>
  </si>
  <si>
    <t xml:space="preserve">Rest defence during the build · Immediate reaction on the loss</t>
  </si>
  <si>
    <t xml:space="preserve">Repress within 5 s on 50%+ of losses in the build</t>
  </si>
  <si>
    <t xml:space="preserve">Rondo to transition: 5v2 into 4v4</t>
  </si>
  <si>
    <t xml:space="preserve">Build zone game 6v4: on a loss, the 4 counter to 2 mini-goals and the 6 repress</t>
  </si>
  <si>
    <t xml:space="preserve">11v11 phase: build out, then the coach plays a ball to the opposition to force a reaction</t>
  </si>
  <si>
    <t xml:space="preserve">11v11 free</t>
  </si>
  <si>
    <t xml:space="preserve">What problem is the game giving me next?</t>
  </si>
  <si>
    <t xml:space="preserve">Defend → Win → Counter</t>
  </si>
  <si>
    <t xml:space="preserve">First look forward after a regain · Runners go immediately</t>
  </si>
  <si>
    <t xml:space="preserve">Shot within 10 s of a regain, 2+ times per block</t>
  </si>
  <si>
    <t xml:space="preserve">Pressing 3v2 + counter to a goal</t>
  </si>
  <si>
    <t xml:space="preserve">Wave game 4v3 → counter 3v2 the other way</t>
  </si>
  <si>
    <t xml:space="preserve">1-5-2-3 press vs a build-out; on a regain, attack in 10 s</t>
  </si>
  <si>
    <t xml:space="preserve">Can we attack before they get organized?</t>
  </si>
  <si>
    <t xml:space="preserve">Progress → Final action → Defend the transition</t>
  </si>
  <si>
    <t xml:space="preserve">Rest defence 3 + 1 behind the ball · Final action with purpose</t>
  </si>
  <si>
    <t xml:space="preserve">No counter-attack shots conceded after our final actions</t>
  </si>
  <si>
    <t xml:space="preserve">Crossing and finishing patterns with a rest-defence trio</t>
  </si>
  <si>
    <t xml:space="preserve">7v5 to goal + 3 counter-attackers waiting</t>
  </si>
  <si>
    <t xml:space="preserve">11v11 phase: final-third entries with rest defence monitored</t>
  </si>
  <si>
    <t xml:space="preserve">Who is protecting us while we attack?</t>
  </si>
  <si>
    <t xml:space="preserve">Press → Regain → Attack</t>
  </si>
  <si>
    <t xml:space="preserve">Press on the trigger · Regain high · Attack immediately</t>
  </si>
  <si>
    <t xml:space="preserve">Regains in the final third turned into shots</t>
  </si>
  <si>
    <t xml:space="preserve">Press-trigger reaction game</t>
  </si>
  <si>
    <t xml:space="preserve">6v6 + GKs: a regain in the final third scores double</t>
  </si>
  <si>
    <t xml:space="preserve">11 vs 9: high press, regain, finish in 10 s</t>
  </si>
  <si>
    <t xml:space="preserve">Did our press create a chance?</t>
  </si>
  <si>
    <t xml:space="preserve">Exploit the numbers after a regain</t>
  </si>
  <si>
    <t xml:space="preserve">Recognize the numbers · First look forward · Multiple forward options</t>
  </si>
  <si>
    <t xml:space="preserve">Counters end in a shot 50%+ of the time</t>
  </si>
  <si>
    <t xml:space="preserve">3v2 counter waves</t>
  </si>
  <si>
    <t xml:space="preserve">4v3 → 5v4 transition waves, 10-s limit</t>
  </si>
  <si>
    <t xml:space="preserve">11v11 from a regain zone: attack in 8 passes or fewer</t>
  </si>
  <si>
    <t xml:space="preserve">9v9 or 11v11 free game: apply the week’s objective</t>
  </si>
  <si>
    <t xml:space="preserve">Is it on? Go!</t>
  </si>
  <si>
    <t xml:space="preserve">Go now, or secure</t>
  </si>
  <si>
    <t xml:space="preserve">Forward movement before they recover · Support the ball carrier · Recognize when it is not on and secure</t>
  </si>
  <si>
    <t xml:space="preserve">Ball reaches the final third within 10 s of a regain, or is kept (no turnover) when forward is closed</t>
  </si>
  <si>
    <t xml:space="preserve">Running with the ball + combination play</t>
  </si>
  <si>
    <t xml:space="preserve">6v4 counter channel game: if the forward pass is blocked, 3 passes to secure = 1 point</t>
  </si>
  <si>
    <t xml:space="preserve">11v11 transition game: regain → final third in 10 s, or secure and reset into the 1-3-4-3</t>
  </si>
  <si>
    <t xml:space="preserve">Can we get there before they do?</t>
  </si>
  <si>
    <t xml:space="preserve">Get behind the back line</t>
  </si>
  <si>
    <t xml:space="preserve">Timed runs in behind · Pass into space · Stay onside</t>
  </si>
  <si>
    <t xml:space="preserve">3+ entries behind the line per block</t>
  </si>
  <si>
    <t xml:space="preserve">Through-ball patterns, runs off the shoulder</t>
  </si>
  <si>
    <t xml:space="preserve">Offside-line game 6v6 + 2: score only after a run in behind</t>
  </si>
  <si>
    <t xml:space="preserve">1-3-4-3 vs 1-4-4-2: 10 comes short, opposite 10 runs in behind</t>
  </si>
  <si>
    <t xml:space="preserve">When is the moment to run?</t>
  </si>
  <si>
    <t xml:space="preserve">Attack the box</t>
  </si>
  <si>
    <t xml:space="preserve">Fill the near post, far post and cut-back zone · Time the arrival</t>
  </si>
  <si>
    <t xml:space="preserve">3 players in the box on every cross</t>
  </si>
  <si>
    <t xml:space="preserve">Crossing and finishing patterns, 3 runners</t>
  </si>
  <si>
    <t xml:space="preserve">6v4 + GK crossing game from wide zones</t>
  </si>
  <si>
    <t xml:space="preserve">11v11 phase: WB crosses, 9 + 10 + opposite WB attack the box</t>
  </si>
  <si>
    <t xml:space="preserve">Are we in the right places when the ball arrives?</t>
  </si>
  <si>
    <t xml:space="preserve">Combine around the box</t>
  </si>
  <si>
    <t xml:space="preserve">Quick 1-2s and third-man around the box · Shoot early</t>
  </si>
  <si>
    <t xml:space="preserve">Shots from combinations, 3+ per block</t>
  </si>
  <si>
    <t xml:space="preserve">1-2 and third-man finishing circuit</t>
  </si>
  <si>
    <t xml:space="preserve">5v5 + GKs around the box (35x30 yd)</t>
  </si>
  <si>
    <t xml:space="preserve">8v7 final-third phase</t>
  </si>
  <si>
    <t xml:space="preserve">Can we combine before they set?</t>
  </si>
  <si>
    <t xml:space="preserve">Moment switching</t>
  </si>
  <si>
    <t xml:space="preserve">Recognize the moment · Execute its principles</t>
  </si>
  <si>
    <t xml:space="preserve">Correct reaction to each moment change</t>
  </si>
  <si>
    <t xml:space="preserve">Rondo + transition</t>
  </si>
  <si>
    <t xml:space="preserve">9v9: the coach calls moment changes (new ball in)</t>
  </si>
  <si>
    <t xml:space="preserve">11v11 game-based</t>
  </si>
  <si>
    <t xml:space="preserve">What moment are we in?</t>
  </si>
  <si>
    <t xml:space="preserve">Beat a high press</t>
  </si>
  <si>
    <t xml:space="preserve">Through, around, over against pressure</t>
  </si>
  <si>
    <t xml:space="preserve">Escape the press 50%+ of the time</t>
  </si>
  <si>
    <t xml:space="preserve">Rondos under pressure</t>
  </si>
  <si>
    <t xml:space="preserve">8v6 escape-the-press game</t>
  </si>
  <si>
    <t xml:space="preserve">11v11 vs a simulated high press</t>
  </si>
  <si>
    <t xml:space="preserve">Where is the space they leave?</t>
  </si>
  <si>
    <t xml:space="preserve">Break a low block</t>
  </si>
  <si>
    <t xml:space="preserve">Patience · Switch · Attack the half spaces</t>
  </si>
  <si>
    <t xml:space="preserve">Final-third entries via the half spaces</t>
  </si>
  <si>
    <t xml:space="preserve">Switching patterns</t>
  </si>
  <si>
    <t xml:space="preserve">7v8 low-block game</t>
  </si>
  <si>
    <t xml:space="preserve">11v11 vs a 1-5-4-1 low block</t>
  </si>
  <si>
    <t xml:space="preserve">How do we move them?</t>
  </si>
  <si>
    <t xml:space="preserve">Game rehearsal</t>
  </si>
  <si>
    <t xml:space="preserve">Match routines · Set-piece roles</t>
  </si>
  <si>
    <t xml:space="preserve">Clear roles on every set piece</t>
  </si>
  <si>
    <t xml:space="preserve">Match warm-up rehearsal</t>
  </si>
  <si>
    <t xml:space="preserve">Set pieces: attacking corners (2 routines) and defending corners</t>
  </si>
  <si>
    <t xml:space="preserve">11v11 match simulation</t>
  </si>
  <si>
    <t xml:space="preserve">Are we ready?</t>
  </si>
  <si>
    <t xml:space="preserve">Beat their press</t>
  </si>
  <si>
    <t xml:space="preserve">Read the press · Choose the route</t>
  </si>
  <si>
    <t xml:space="preserve">Clean progressions on 50%+ of build-outs</t>
  </si>
  <si>
    <t xml:space="preserve">Rondos 5v2 / 4v2, two touch, scan before receiving</t>
  </si>
  <si>
    <t xml:space="preserve">8v6 build game</t>
  </si>
  <si>
    <t xml:space="preserve">11v11 vs this week’s opponent’s press</t>
  </si>
  <si>
    <t xml:space="preserve">What did their press give us?</t>
  </si>
  <si>
    <t xml:space="preserve">Near post, far post, cut-back</t>
  </si>
  <si>
    <t xml:space="preserve">3 in the box on every cross</t>
  </si>
  <si>
    <t xml:space="preserve">Crossing patterns</t>
  </si>
  <si>
    <t xml:space="preserve">6v4 + GK crossing game</t>
  </si>
  <si>
    <t xml:space="preserve">11v11 final-third phase</t>
  </si>
  <si>
    <t xml:space="preserve">Who attacks which space?</t>
  </si>
  <si>
    <t xml:space="preserve">Attacking corners</t>
  </si>
  <si>
    <t xml:space="preserve">Runs, blocks, delivery zones</t>
  </si>
  <si>
    <t xml:space="preserve">Shot from 1 in 3 corners in practice</t>
  </si>
  <si>
    <t xml:space="preserve">Delivery practice</t>
  </si>
  <si>
    <t xml:space="preserve">3 corner routines vs live defenders</t>
  </si>
  <si>
    <t xml:space="preserve">11v11 with extra corners</t>
  </si>
  <si>
    <t xml:space="preserve">Do I know my run?</t>
  </si>
  <si>
    <t xml:space="preserve">Defending set pieces</t>
  </si>
  <si>
    <t xml:space="preserve">Zone the 6-yard box, mark the main threats, attack the ball</t>
  </si>
  <si>
    <t xml:space="preserve">No first contacts conceded in our zone</t>
  </si>
  <si>
    <t xml:space="preserve">Heading + attacking the ball</t>
  </si>
  <si>
    <t xml:space="preserve">Defending corners vs live attackers</t>
  </si>
  <si>
    <t xml:space="preserve">11v11 with extra set pieces against</t>
  </si>
  <si>
    <t xml:space="preserve">Who has the first contact?</t>
  </si>
  <si>
    <t xml:space="preserve">Progress against a mid block</t>
  </si>
  <si>
    <t xml:space="preserve">Free player between the lines</t>
  </si>
  <si>
    <t xml:space="preserve">Line-breaking passes, 3+ per block</t>
  </si>
  <si>
    <t xml:space="preserve">Third-man patterns</t>
  </si>
  <si>
    <t xml:space="preserve">Lines rondo</t>
  </si>
  <si>
    <t xml:space="preserve">11v11 vs a 1-4-4-2 mid block</t>
  </si>
  <si>
    <t xml:space="preserve">Where is the pocket?</t>
  </si>
  <si>
    <t xml:space="preserve">Counter after the regain</t>
  </si>
  <si>
    <t xml:space="preserve">Forward first, runners immediately</t>
  </si>
  <si>
    <t xml:space="preserve">Shot within 10 s of a regain</t>
  </si>
  <si>
    <t xml:space="preserve">Counter waves</t>
  </si>
  <si>
    <t xml:space="preserve">4v3 transition game</t>
  </si>
  <si>
    <t xml:space="preserve">11v11 transition game</t>
  </si>
  <si>
    <t xml:space="preserve">Is it on?</t>
  </si>
  <si>
    <t xml:space="preserve">Protect the centre, win high</t>
  </si>
  <si>
    <t xml:space="preserve">Compact → predictable → press → step → win</t>
  </si>
  <si>
    <t xml:space="preserve">Regains in the middle and final thirds</t>
  </si>
  <si>
    <t xml:space="preserve">Pressing curves</t>
  </si>
  <si>
    <t xml:space="preserve">6v6 trap zones</t>
  </si>
  <si>
    <t xml:space="preserve">11v11 high press</t>
  </si>
  <si>
    <t xml:space="preserve">Where do we win it?</t>
  </si>
  <si>
    <t xml:space="preserve">Repress</t>
  </si>
  <si>
    <t xml:space="preserve">React · contact · deny</t>
  </si>
  <si>
    <t xml:space="preserve">Regain within 5 s, 50%+ of losses</t>
  </si>
  <si>
    <t xml:space="preserve">Rondo transitions</t>
  </si>
  <si>
    <t xml:space="preserve">5v5 + 2 regain within 5 s</t>
  </si>
  <si>
    <t xml:space="preserve">11v11</t>
  </si>
  <si>
    <t xml:space="preserve">How fast was our reaction?</t>
  </si>
  <si>
    <t xml:space="preserve">Final-third combinations</t>
  </si>
  <si>
    <t xml:space="preserve">Quick combinations, early shots</t>
  </si>
  <si>
    <t xml:space="preserve">Shots from combinations</t>
  </si>
  <si>
    <t xml:space="preserve">1-2 finishing</t>
  </si>
  <si>
    <t xml:space="preserve">5v5 around the box</t>
  </si>
  <si>
    <t xml:space="preserve">Introduce the 1-4-2-3-1</t>
  </si>
  <si>
    <t xml:space="preserve">Same principles, different shape · Back four distances</t>
  </si>
  <si>
    <t xml:space="preserve">Shape held in both systems</t>
  </si>
  <si>
    <t xml:space="preserve">Shape walk-through</t>
  </si>
  <si>
    <t xml:space="preserve">Positional game in the 1-4-2-3-1</t>
  </si>
  <si>
    <t xml:space="preserve">11v11 in the 1-4-2-3-1</t>
  </si>
  <si>
    <t xml:space="preserve">What changes, and what stays the same?</t>
  </si>
  <si>
    <t xml:space="preserve">Flip the triangle</t>
  </si>
  <si>
    <t xml:space="preserve">Switch on the coach’s cue · Keep the principles</t>
  </si>
  <si>
    <t xml:space="preserve">Switch done within 1 minute of the cue</t>
  </si>
  <si>
    <t xml:space="preserve">Switch game 9v9</t>
  </si>
  <si>
    <t xml:space="preserve">11v11: switch on the cue</t>
  </si>
  <si>
    <t xml:space="preserve">Who moves where?</t>
  </si>
  <si>
    <t xml:space="preserve">Reload</t>
  </si>
  <si>
    <t xml:space="preserve">Volume through small-sided games</t>
  </si>
  <si>
    <t xml:space="preserve">Full sessions completed</t>
  </si>
  <si>
    <t xml:space="preserve">SSG blocks 4v4–6v6</t>
  </si>
  <si>
    <t xml:space="preserve">Are we back to our level?</t>
  </si>
  <si>
    <t xml:space="preserve">Game plan vs a back four</t>
  </si>
  <si>
    <t xml:space="preserve">Overload wide · Half-space runs</t>
  </si>
  <si>
    <t xml:space="preserve">Entries via the half spaces</t>
  </si>
  <si>
    <t xml:space="preserve">Patterns</t>
  </si>
  <si>
    <t xml:space="preserve">Overload game</t>
  </si>
  <si>
    <t xml:space="preserve">11v11 vs a back four</t>
  </si>
  <si>
    <t xml:space="preserve">Where is our advantage?</t>
  </si>
  <si>
    <t xml:space="preserve">Game plan vs a back three</t>
  </si>
  <si>
    <t xml:space="preserve">Pin their wing backs · Isolate their outside CBs</t>
  </si>
  <si>
    <t xml:space="preserve">1v1s created out wide</t>
  </si>
  <si>
    <t xml:space="preserve">Isolation game</t>
  </si>
  <si>
    <t xml:space="preserve">11v11 vs a back three</t>
  </si>
  <si>
    <t xml:space="preserve">Who is free?</t>
  </si>
  <si>
    <t xml:space="preserve">Breaking lines in both systems</t>
  </si>
  <si>
    <t xml:space="preserve">Third-man in both shapes</t>
  </si>
  <si>
    <t xml:space="preserve">Line breaks, 3+ per block</t>
  </si>
  <si>
    <t xml:space="preserve">11v11, switching systems</t>
  </si>
  <si>
    <t xml:space="preserve">Does the system change the solution?</t>
  </si>
  <si>
    <t xml:space="preserve">Regaining possession in both systems</t>
  </si>
  <si>
    <t xml:space="preserve">Triggers in both shapes</t>
  </si>
  <si>
    <t xml:space="preserve">Who triggers the press?</t>
  </si>
  <si>
    <t xml:space="preserve">Protect a lead</t>
  </si>
  <si>
    <t xml:space="preserve">Keep the ball · Lower block when needed · Smart fouls avoided</t>
  </si>
  <si>
    <t xml:space="preserve">Lead protected in simulations</t>
  </si>
  <si>
    <t xml:space="preserve">Game-state game: +1 goal, 10 min left</t>
  </si>
  <si>
    <t xml:space="preserve">11v11 game-state scenarios</t>
  </si>
  <si>
    <t xml:space="preserve">What does the game need now?</t>
  </si>
  <si>
    <t xml:space="preserve">Chase a game</t>
  </si>
  <si>
    <t xml:space="preserve">Extra runner · Earlier crosses · Higher press</t>
  </si>
  <si>
    <t xml:space="preserve">Chances created in simulations</t>
  </si>
  <si>
    <t xml:space="preserve">Game-state game: −1 goal</t>
  </si>
  <si>
    <t xml:space="preserve">What risk do we take?</t>
  </si>
  <si>
    <t xml:space="preserve">Sharpen the counter</t>
  </si>
  <si>
    <t xml:space="preserve">Forward first</t>
  </si>
  <si>
    <t xml:space="preserve">Transition game</t>
  </si>
  <si>
    <t xml:space="preserve">Sharpen the final third</t>
  </si>
  <si>
    <t xml:space="preserve">Combinations + box attack</t>
  </si>
  <si>
    <t xml:space="preserve">Finishing</t>
  </si>
  <si>
    <t xml:space="preserve">Box game</t>
  </si>
  <si>
    <t xml:space="preserve">Who finishes it?</t>
  </si>
  <si>
    <t xml:space="preserve">Player-led session</t>
  </si>
  <si>
    <t xml:space="preserve">Leaders set up and run the session</t>
  </si>
  <si>
    <t xml:space="preserve">Players name the problem and solve it</t>
  </si>
  <si>
    <t xml:space="preserve">Players design</t>
  </si>
  <si>
    <t xml:space="preserve">What would you change?</t>
  </si>
  <si>
    <t xml:space="preserve">Final games</t>
  </si>
  <si>
    <t xml:space="preserve">Everything we have learned</t>
  </si>
  <si>
    <t xml:space="preserve">Our identity is visible</t>
  </si>
  <si>
    <t xml:space="preserve">Favourite game</t>
  </si>
  <si>
    <t xml:space="preserve">Do we look like us?</t>
  </si>
  <si>
    <t xml:space="preserve">IDP review week</t>
  </si>
  <si>
    <t xml:space="preserve">Fun festival + IDP meetings</t>
  </si>
  <si>
    <t xml:space="preserve">Week Template — the in-season week (game on Saturday)</t>
  </si>
  <si>
    <t xml:space="preserve">Same tactical theme all week; the day changes space, numbers and rest, so the physical load changes with it.</t>
  </si>
  <si>
    <t xml:space="preserve">Day</t>
  </si>
  <si>
    <t xml:space="preserve">Match-day code</t>
  </si>
  <si>
    <t xml:space="preserve">Space &amp; numbers</t>
  </si>
  <si>
    <t xml:space="preserve">Work : rest</t>
  </si>
  <si>
    <t xml:space="preserve">Session length</t>
  </si>
  <si>
    <t xml:space="preserve">Tactical content</t>
  </si>
  <si>
    <t xml:space="preserve">Sun</t>
  </si>
  <si>
    <t xml:space="preserve">MD+1</t>
  </si>
  <si>
    <t xml:space="preserve">Off</t>
  </si>
  <si>
    <t xml:space="preserve">Sleep, mobility, hydration</t>
  </si>
  <si>
    <t xml:space="preserve">Mon</t>
  </si>
  <si>
    <t xml:space="preserve">MD+2</t>
  </si>
  <si>
    <t xml:space="preserve">Recover + review</t>
  </si>
  <si>
    <t xml:space="preserve">Rondos 5v2 / 4v2, small grids</t>
  </si>
  <si>
    <t xml:space="preserve">Low intensity, long rest</t>
  </si>
  <si>
    <t xml:space="preserve">60–75 min</t>
  </si>
  <si>
    <t xml:space="preserve">Video review: name the week’s problem</t>
  </si>
  <si>
    <t xml:space="preserve">Tue</t>
  </si>
  <si>
    <t xml:space="preserve">MD-4</t>
  </si>
  <si>
    <t xml:space="preserve">Strength / tension</t>
  </si>
  <si>
    <t xml:space="preserve">Small spaces, 4v4–6v6, many duels</t>
  </si>
  <si>
    <t xml:space="preserve">Short bouts (1–4 min), equal rest</t>
  </si>
  <si>
    <t xml:space="preserve">90 min</t>
  </si>
  <si>
    <t xml:space="preserve">Sub-principles of the weekly objective</t>
  </si>
  <si>
    <t xml:space="preserve">Wed</t>
  </si>
  <si>
    <t xml:space="preserve">MD-3</t>
  </si>
  <si>
    <t xml:space="preserve">Endurance (KEY SESSION)</t>
  </si>
  <si>
    <t xml:space="preserve">Big spaces, 8v8–11v11</t>
  </si>
  <si>
    <t xml:space="preserve">Long bouts (6–10 min)</t>
  </si>
  <si>
    <t xml:space="preserve">Full 1-3-4-3 structure: the week’s key session</t>
  </si>
  <si>
    <t xml:space="preserve">Thu</t>
  </si>
  <si>
    <t xml:space="preserve">MD-2</t>
  </si>
  <si>
    <t xml:space="preserve">Speed</t>
  </si>
  <si>
    <t xml:space="preserve">Short, sharp reps</t>
  </si>
  <si>
    <t xml:space="preserve">Max effort, full rest</t>
  </si>
  <si>
    <t xml:space="preserve">75–90 min</t>
  </si>
  <si>
    <t xml:space="preserve">Transitions, finishing, set pieces</t>
  </si>
  <si>
    <t xml:space="preserve">Fri</t>
  </si>
  <si>
    <t xml:space="preserve">MD-1</t>
  </si>
  <si>
    <t xml:space="preserve">Fresh legs</t>
  </si>
  <si>
    <t xml:space="preserve">Sat</t>
  </si>
  <si>
    <t xml:space="preserve">MD</t>
  </si>
  <si>
    <t xml:space="preserve">Game</t>
  </si>
  <si>
    <t xml:space="preserve">Test the week’s objective</t>
  </si>
  <si>
    <t xml:space="preserve">Sunday game: shift every day by one. Two games in a week: drop Tuesday, keep Monday recovery and Thursday speed. Off-season months: same order, lower load.</t>
  </si>
  <si>
    <t xml:space="preserve">Summary — phases and planned load</t>
  </si>
  <si>
    <t xml:space="preserve">All values are formulas on the Year Plan tab; edit Volume / Intensity there.</t>
  </si>
  <si>
    <t xml:space="preserve">Weeks</t>
  </si>
  <si>
    <t xml:space="preserve">Avg volume</t>
  </si>
  <si>
    <t xml:space="preserve">Avg intensity</t>
  </si>
  <si>
    <t xml:space="preserve">Training weeks</t>
  </si>
  <si>
    <t xml:space="preserve">Total</t>
  </si>
  <si>
    <t xml:space="preserve">Monthly averages include holiday, break and rest weeks.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</si>
</sst>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General"/>
    <numFmt numFmtId="167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191F"/>
      <name val="Arial"/>
      <family val="0"/>
      <charset val="1"/>
    </font>
    <font>
      <i val="true"/>
      <sz val="10"/>
      <color rgb="FF4A5260"/>
      <name val="Arial"/>
      <family val="0"/>
      <charset val="1"/>
    </font>
    <font>
      <b val="true"/>
      <sz val="11"/>
      <color rgb="FF15191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F5FB8"/>
      <name val="Arial"/>
      <family val="0"/>
      <charset val="1"/>
    </font>
    <font>
      <b val="true"/>
      <sz val="11"/>
      <color rgb="FF1F7543"/>
      <name val="Arial"/>
      <family val="0"/>
      <charset val="1"/>
    </font>
    <font>
      <b val="true"/>
      <sz val="11"/>
      <color rgb="FFA50D26"/>
      <name val="Arial"/>
      <family val="0"/>
      <charset val="1"/>
    </font>
    <font>
      <b val="true"/>
      <sz val="11"/>
      <color rgb="FFA55A12"/>
      <name val="Arial"/>
      <family val="0"/>
      <charset val="1"/>
    </font>
    <font>
      <b val="true"/>
      <sz val="11"/>
      <color rgb="FFF4F2E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5FB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A50D26"/>
      <name val="Arial"/>
      <family val="0"/>
      <charset val="1"/>
    </font>
    <font>
      <b val="true"/>
      <sz val="10"/>
      <color rgb="FFA55A12"/>
      <name val="Arial"/>
      <family val="0"/>
      <charset val="1"/>
    </font>
    <font>
      <b val="true"/>
      <sz val="10"/>
      <color rgb="FF1F7543"/>
      <name val="Arial"/>
      <family val="0"/>
      <charset val="1"/>
    </font>
    <font>
      <i val="true"/>
      <sz val="9"/>
      <color rgb="FF4A5260"/>
      <name val="Arial"/>
      <family val="0"/>
      <charset val="1"/>
    </font>
    <font>
      <sz val="10"/>
      <name val="Arial"/>
      <family val="2"/>
    </font>
    <font>
      <sz val="10"/>
      <color rgb="FF2F5FB8"/>
      <name val="Arial"/>
      <family val="0"/>
      <charset val="1"/>
    </font>
    <font>
      <sz val="10"/>
      <color rgb="FF1F7543"/>
      <name val="Arial"/>
      <family val="0"/>
      <charset val="1"/>
    </font>
    <font>
      <sz val="10"/>
      <color rgb="FFA50D26"/>
      <name val="Arial"/>
      <family val="0"/>
      <charset val="1"/>
    </font>
    <font>
      <sz val="10"/>
      <color rgb="FFA55A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5191F"/>
        <bgColor rgb="FF000000"/>
      </patternFill>
    </fill>
    <fill>
      <patternFill patternType="solid">
        <fgColor rgb="FFFBFAF7"/>
        <bgColor rgb="FFF4F2ED"/>
      </patternFill>
    </fill>
    <fill>
      <patternFill patternType="solid">
        <fgColor rgb="FFECE8DE"/>
        <bgColor rgb="FFE5E5E5"/>
      </patternFill>
    </fill>
    <fill>
      <patternFill patternType="solid">
        <fgColor rgb="FFE3EAF5"/>
        <bgColor rgb="FFE5E5E5"/>
      </patternFill>
    </fill>
    <fill>
      <patternFill patternType="solid">
        <fgColor rgb="FFF6E7C1"/>
        <bgColor rgb="FFECE8DE"/>
      </patternFill>
    </fill>
    <fill>
      <patternFill patternType="solid">
        <fgColor rgb="FFF3DDA6"/>
        <bgColor rgb="FFF6E7C1"/>
      </patternFill>
    </fill>
    <fill>
      <patternFill patternType="solid">
        <fgColor rgb="FFE5E5E5"/>
        <bgColor rgb="FFECE8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1C4"/>
      </left>
      <right style="thin">
        <color rgb="FFD6D1C4"/>
      </right>
      <top style="thin">
        <color rgb="FFD6D1C4"/>
      </top>
      <bottom style="thin">
        <color rgb="FFD6D1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5191F"/>
          <bgColor rgb="FF000000"/>
        </patternFill>
      </fill>
    </dxf>
    <dxf>
      <fill>
        <patternFill patternType="solid">
          <fgColor rgb="FFE3EAF5"/>
          <bgColor rgb="FF000000"/>
        </patternFill>
      </fill>
    </dxf>
    <dxf>
      <fill>
        <patternFill patternType="solid">
          <fgColor rgb="FFE5E5E5"/>
          <bgColor rgb="FF000000"/>
        </patternFill>
      </fill>
    </dxf>
    <dxf>
      <fill>
        <patternFill patternType="solid">
          <fgColor rgb="FFECE8DE"/>
          <bgColor rgb="FF000000"/>
        </patternFill>
      </fill>
    </dxf>
    <dxf>
      <fill>
        <patternFill patternType="solid">
          <fgColor rgb="FFF3DDA6"/>
          <bgColor rgb="FF000000"/>
        </patternFill>
      </fill>
    </dxf>
    <dxf>
      <fill>
        <patternFill patternType="solid">
          <fgColor rgb="FFF6E7C1"/>
          <bgColor rgb="FF000000"/>
        </patternFill>
      </fill>
    </dxf>
    <dxf>
      <fill>
        <patternFill patternType="solid">
          <fgColor rgb="FFFBFAF7"/>
          <bgColor rgb="FF000000"/>
        </patternFill>
      </fill>
    </dxf>
    <dxf>
      <fill>
        <patternFill patternType="solid">
          <fgColor rgb="FFF4F2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7543"/>
          <bgColor rgb="FF000000"/>
        </patternFill>
      </fill>
    </dxf>
    <dxf>
      <fill>
        <patternFill patternType="solid">
          <fgColor rgb="FF2F5FB8"/>
          <bgColor rgb="FF000000"/>
        </patternFill>
      </fill>
    </dxf>
    <dxf>
      <fill>
        <patternFill patternType="solid">
          <fgColor rgb="FFA50D26"/>
          <bgColor rgb="FF000000"/>
        </patternFill>
      </fill>
    </dxf>
    <dxf>
      <fill>
        <patternFill patternType="solid">
          <fgColor rgb="FFA55A12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BFAF7"/>
      <rgbColor rgb="FFFF0000"/>
      <rgbColor rgb="FF00FF00"/>
      <rgbColor rgb="FF0000FF"/>
      <rgbColor rgb="FFFFFF00"/>
      <rgbColor rgb="FFFF00FF"/>
      <rgbColor rgb="FF00FFFF"/>
      <rgbColor rgb="FFA50D26"/>
      <rgbColor rgb="FF008000"/>
      <rgbColor rgb="FF000080"/>
      <rgbColor rgb="FFB87A0E"/>
      <rgbColor rgb="FF800080"/>
      <rgbColor rgb="FF1F7543"/>
      <rgbColor rgb="FFD6D1C4"/>
      <rgbColor rgb="FF878787"/>
      <rgbColor rgb="FF9999FF"/>
      <rgbColor rgb="FF993366"/>
      <rgbColor rgb="FFF4F2ED"/>
      <rgbColor rgb="FFE3EA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8DE"/>
      <rgbColor rgb="FFE5E5E5"/>
      <rgbColor rgb="FFF6E7C1"/>
      <rgbColor rgb="FF99CCFF"/>
      <rgbColor rgb="FFFF99CC"/>
      <rgbColor rgb="FFCC99FF"/>
      <rgbColor rgb="FFF3DDA6"/>
      <rgbColor rgb="FF2F5FB8"/>
      <rgbColor rgb="FF33CCCC"/>
      <rgbColor rgb="FF99CC00"/>
      <rgbColor rgb="FFFFCC00"/>
      <rgbColor rgb="FFFF9900"/>
      <rgbColor rgb="FFFF6600"/>
      <rgbColor rgb="FF4A5260"/>
      <rgbColor rgb="FF969696"/>
      <rgbColor rgb="FF003366"/>
      <rgbColor rgb="FF339966"/>
      <rgbColor rgb="FF15191F"/>
      <rgbColor rgb="FF333300"/>
      <rgbColor rgb="FFA55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load by month (1 low – 5 high)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Avg volume</c:v>
                </c:pt>
              </c:strCache>
            </c:strRef>
          </c:tx>
          <c:spPr>
            <a:solidFill>
              <a:srgbClr val="2f5fb8"/>
            </a:solidFill>
            <a:ln w="28440">
              <a:solidFill>
                <a:srgbClr val="2f5f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Summary!$D$5:$D$16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Summary!$E$5:$E$16</c:f>
              <c:numCache>
                <c:formatCode>0.0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3.5</c:v>
                </c:pt>
                <c:pt idx="3">
                  <c:v>3.5</c:v>
                </c:pt>
                <c:pt idx="4">
                  <c:v>4.5</c:v>
                </c:pt>
                <c:pt idx="5">
                  <c:v>3.5</c:v>
                </c:pt>
                <c:pt idx="6">
                  <c:v>3</c:v>
                </c:pt>
                <c:pt idx="7">
                  <c:v>3</c:v>
                </c:pt>
                <c:pt idx="8">
                  <c:v>1.25</c:v>
                </c:pt>
                <c:pt idx="9">
                  <c:v>3.5</c:v>
                </c:pt>
                <c:pt idx="10">
                  <c:v>3</c:v>
                </c:pt>
                <c:pt idx="11">
                  <c:v>1.25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Summary!F4</c:f>
              <c:strCache>
                <c:ptCount val="1"/>
                <c:pt idx="0">
                  <c:v>Avg intensity</c:v>
                </c:pt>
              </c:strCache>
            </c:strRef>
          </c:tx>
          <c:spPr>
            <a:solidFill>
              <a:srgbClr val="b87a0e"/>
            </a:solidFill>
            <a:ln w="28440">
              <a:solidFill>
                <a:srgbClr val="b87a0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Summary!$D$5:$D$16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Summary!$F$5:$F$16</c:f>
              <c:numCache>
                <c:formatCode>0.0</c:formatCode>
                <c:ptCount val="12"/>
                <c:pt idx="0">
                  <c:v>2</c:v>
                </c:pt>
                <c:pt idx="1">
                  <c:v>1.5</c:v>
                </c:pt>
                <c:pt idx="2">
                  <c:v>3</c:v>
                </c:pt>
                <c:pt idx="3">
                  <c:v>3.5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4.5</c:v>
                </c:pt>
                <c:pt idx="8">
                  <c:v>2</c:v>
                </c:pt>
                <c:pt idx="9">
                  <c:v>4</c:v>
                </c:pt>
                <c:pt idx="10">
                  <c:v>4.5</c:v>
                </c:pt>
                <c:pt idx="11">
                  <c:v>1.75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931010"/>
        <c:axId val="93280788"/>
      </c:lineChart>
      <c:catAx>
        <c:axId val="6093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80788"/>
        <c:crosses val="autoZero"/>
        <c:auto val="1"/>
        <c:lblAlgn val="ctr"/>
        <c:lblOffset val="100"/>
        <c:noMultiLvlLbl val="0"/>
      </c:catAx>
      <c:valAx>
        <c:axId val="9328078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load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1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19</xdr:col>
      <xdr:colOff>473040</xdr:colOff>
      <xdr:row>18</xdr:row>
      <xdr:rowOff>113040</xdr:rowOff>
    </xdr:to>
    <xdr:graphicFrame>
      <xdr:nvGraphicFramePr>
        <xdr:cNvPr id="0" name="Chart 1"/>
        <xdr:cNvGraphicFramePr/>
      </xdr:nvGraphicFramePr>
      <xdr:xfrm>
        <a:off x="693216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6.85" hidden="false" customHeight="false" outlineLevel="0" collapsed="false">
      <c r="A5" s="3" t="s">
        <v>3</v>
      </c>
      <c r="B5" s="4" t="s">
        <v>4</v>
      </c>
    </row>
    <row r="6" customFormat="false" ht="26.85" hidden="false" customHeight="false" outlineLevel="0" collapsed="false">
      <c r="A6" s="3" t="s">
        <v>5</v>
      </c>
      <c r="B6" s="4" t="s">
        <v>6</v>
      </c>
    </row>
    <row r="7" customFormat="false" ht="26.8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/>
      <c r="B10" s="4"/>
    </row>
    <row r="11" customFormat="false" ht="26.85" hidden="false" customHeight="false" outlineLevel="0" collapsed="false">
      <c r="A11" s="3" t="s">
        <v>13</v>
      </c>
      <c r="B11" s="4" t="s">
        <v>14</v>
      </c>
    </row>
    <row r="12" customFormat="false" ht="26.8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26.85" hidden="false" customHeight="false" outlineLevel="0" collapsed="false">
      <c r="A14" s="3" t="s">
        <v>17</v>
      </c>
      <c r="B14" s="4" t="s">
        <v>18</v>
      </c>
    </row>
    <row r="15" customFormat="false" ht="26.85" hidden="false" customHeight="false" outlineLevel="0" collapsed="false">
      <c r="A15" s="3"/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26.85" hidden="false" customHeight="false" outlineLevel="0" collapsed="false">
      <c r="A17" s="3"/>
      <c r="B17" s="4" t="s">
        <v>22</v>
      </c>
    </row>
    <row r="18" customFormat="false" ht="26.85" hidden="false" customHeight="false" outlineLevel="0" collapsed="false">
      <c r="A18" s="3"/>
      <c r="B18" s="4" t="s">
        <v>23</v>
      </c>
    </row>
    <row r="19" customFormat="false" ht="15" hidden="false" customHeight="false" outlineLevel="0" collapsed="false">
      <c r="A19" s="3"/>
      <c r="B19" s="4" t="s">
        <v>24</v>
      </c>
    </row>
    <row r="20" customFormat="false" ht="15" hidden="false" customHeight="false" outlineLevel="0" collapsed="false">
      <c r="A20" s="3"/>
      <c r="B20" s="4" t="s">
        <v>25</v>
      </c>
    </row>
    <row r="22" customFormat="false" ht="15" hidden="false" customHeight="false" outlineLevel="0" collapsed="false">
      <c r="A22" s="5" t="s">
        <v>26</v>
      </c>
      <c r="B22" s="6" t="s">
        <v>27</v>
      </c>
    </row>
    <row r="23" customFormat="false" ht="15" hidden="false" customHeight="false" outlineLevel="0" collapsed="false">
      <c r="A23" s="5"/>
      <c r="B23" s="7" t="s">
        <v>28</v>
      </c>
    </row>
    <row r="24" customFormat="false" ht="15" hidden="false" customHeight="false" outlineLevel="0" collapsed="false">
      <c r="A24" s="5"/>
      <c r="B24" s="8" t="s">
        <v>29</v>
      </c>
    </row>
    <row r="25" customFormat="false" ht="15" hidden="false" customHeight="false" outlineLevel="0" collapsed="false">
      <c r="A25" s="5"/>
      <c r="B25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42"/>
    <col collapsed="false" customWidth="true" hidden="false" outlineLevel="0" max="10" min="10" style="0" width="30"/>
    <col collapsed="false" customWidth="true" hidden="false" outlineLevel="0" max="12" min="11" style="0" width="34"/>
    <col collapsed="false" customWidth="true" hidden="false" outlineLevel="0" max="13" min="13" style="0" width="32"/>
    <col collapsed="false" customWidth="true" hidden="false" outlineLevel="0" max="15" min="14" style="0" width="22"/>
    <col collapsed="false" customWidth="true" hidden="false" outlineLevel="0" max="17" min="16" style="0" width="9"/>
    <col collapsed="false" customWidth="true" hidden="false" outlineLevel="0" max="18" min="18" style="0" width="30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26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  <c r="L4" s="10" t="s">
        <v>43</v>
      </c>
      <c r="M4" s="10" t="s">
        <v>44</v>
      </c>
      <c r="N4" s="10" t="s">
        <v>45</v>
      </c>
      <c r="O4" s="10" t="s">
        <v>46</v>
      </c>
      <c r="P4" s="10" t="s">
        <v>47</v>
      </c>
      <c r="Q4" s="10" t="s">
        <v>48</v>
      </c>
      <c r="R4" s="10" t="s">
        <v>49</v>
      </c>
    </row>
    <row r="5" customFormat="false" ht="63.75" hidden="false" customHeight="true" outlineLevel="0" collapsed="false">
      <c r="A5" s="11" t="n">
        <v>1</v>
      </c>
      <c r="B5" s="12" t="n">
        <v>46328</v>
      </c>
      <c r="C5" s="11" t="s">
        <v>50</v>
      </c>
      <c r="D5" s="11" t="s">
        <v>51</v>
      </c>
      <c r="E5" s="11" t="s">
        <v>52</v>
      </c>
      <c r="F5" s="13" t="s">
        <v>53</v>
      </c>
      <c r="G5" s="11" t="s">
        <v>54</v>
      </c>
      <c r="H5" s="14" t="s">
        <v>55</v>
      </c>
      <c r="I5" s="11" t="s">
        <v>56</v>
      </c>
      <c r="J5" s="11" t="s">
        <v>57</v>
      </c>
      <c r="K5" s="11" t="s">
        <v>58</v>
      </c>
      <c r="L5" s="14" t="s">
        <v>59</v>
      </c>
      <c r="M5" s="11" t="s">
        <v>60</v>
      </c>
      <c r="N5" s="11" t="s">
        <v>61</v>
      </c>
      <c r="O5" s="11" t="s">
        <v>62</v>
      </c>
      <c r="P5" s="15" t="n">
        <v>3</v>
      </c>
      <c r="Q5" s="15" t="n">
        <v>2</v>
      </c>
      <c r="R5" s="11" t="s">
        <v>63</v>
      </c>
    </row>
    <row r="6" customFormat="false" ht="63.75" hidden="false" customHeight="true" outlineLevel="0" collapsed="false">
      <c r="A6" s="11" t="n">
        <v>2</v>
      </c>
      <c r="B6" s="12" t="n">
        <v>46335</v>
      </c>
      <c r="C6" s="11" t="s">
        <v>50</v>
      </c>
      <c r="D6" s="11" t="s">
        <v>51</v>
      </c>
      <c r="E6" s="11" t="s">
        <v>52</v>
      </c>
      <c r="F6" s="13" t="s">
        <v>53</v>
      </c>
      <c r="G6" s="11" t="s">
        <v>54</v>
      </c>
      <c r="H6" s="14" t="s">
        <v>64</v>
      </c>
      <c r="I6" s="11" t="s">
        <v>65</v>
      </c>
      <c r="J6" s="11" t="s">
        <v>57</v>
      </c>
      <c r="K6" s="11" t="s">
        <v>66</v>
      </c>
      <c r="L6" s="14" t="s">
        <v>67</v>
      </c>
      <c r="M6" s="11" t="s">
        <v>68</v>
      </c>
      <c r="N6" s="11" t="s">
        <v>61</v>
      </c>
      <c r="O6" s="11" t="s">
        <v>62</v>
      </c>
      <c r="P6" s="15" t="n">
        <v>3</v>
      </c>
      <c r="Q6" s="15" t="n">
        <v>2</v>
      </c>
      <c r="R6" s="11"/>
    </row>
    <row r="7" customFormat="false" ht="63.75" hidden="false" customHeight="true" outlineLevel="0" collapsed="false">
      <c r="A7" s="11" t="n">
        <v>3</v>
      </c>
      <c r="B7" s="12" t="n">
        <v>46342</v>
      </c>
      <c r="C7" s="11" t="s">
        <v>50</v>
      </c>
      <c r="D7" s="11" t="s">
        <v>51</v>
      </c>
      <c r="E7" s="11" t="s">
        <v>52</v>
      </c>
      <c r="F7" s="13" t="s">
        <v>53</v>
      </c>
      <c r="G7" s="11" t="s">
        <v>69</v>
      </c>
      <c r="H7" s="14" t="s">
        <v>70</v>
      </c>
      <c r="I7" s="11" t="s">
        <v>71</v>
      </c>
      <c r="J7" s="11" t="s">
        <v>57</v>
      </c>
      <c r="K7" s="11" t="s">
        <v>72</v>
      </c>
      <c r="L7" s="14" t="s">
        <v>73</v>
      </c>
      <c r="M7" s="11" t="s">
        <v>74</v>
      </c>
      <c r="N7" s="11" t="s">
        <v>61</v>
      </c>
      <c r="O7" s="11" t="s">
        <v>62</v>
      </c>
      <c r="P7" s="15" t="n">
        <v>3</v>
      </c>
      <c r="Q7" s="15" t="n">
        <v>2</v>
      </c>
      <c r="R7" s="11"/>
    </row>
    <row r="8" customFormat="false" ht="63.75" hidden="false" customHeight="true" outlineLevel="0" collapsed="false">
      <c r="A8" s="11" t="n">
        <v>4</v>
      </c>
      <c r="B8" s="12" t="n">
        <v>46349</v>
      </c>
      <c r="C8" s="11" t="s">
        <v>50</v>
      </c>
      <c r="D8" s="11" t="s">
        <v>51</v>
      </c>
      <c r="E8" s="11" t="s">
        <v>52</v>
      </c>
      <c r="F8" s="16" t="s">
        <v>75</v>
      </c>
      <c r="G8" s="11" t="s">
        <v>76</v>
      </c>
      <c r="H8" s="14" t="s">
        <v>77</v>
      </c>
      <c r="I8" s="11" t="s">
        <v>78</v>
      </c>
      <c r="J8" s="11" t="s">
        <v>57</v>
      </c>
      <c r="K8" s="11" t="s">
        <v>79</v>
      </c>
      <c r="L8" s="14" t="s">
        <v>80</v>
      </c>
      <c r="M8" s="11" t="s">
        <v>81</v>
      </c>
      <c r="N8" s="11" t="s">
        <v>61</v>
      </c>
      <c r="O8" s="11" t="s">
        <v>62</v>
      </c>
      <c r="P8" s="15" t="n">
        <v>3</v>
      </c>
      <c r="Q8" s="15" t="n">
        <v>2</v>
      </c>
      <c r="R8" s="11"/>
    </row>
    <row r="9" customFormat="false" ht="63.75" hidden="false" customHeight="true" outlineLevel="0" collapsed="false">
      <c r="A9" s="11" t="n">
        <v>5</v>
      </c>
      <c r="B9" s="12" t="n">
        <v>46356</v>
      </c>
      <c r="C9" s="11" t="s">
        <v>50</v>
      </c>
      <c r="D9" s="11" t="s">
        <v>51</v>
      </c>
      <c r="E9" s="11" t="s">
        <v>52</v>
      </c>
      <c r="F9" s="13" t="s">
        <v>53</v>
      </c>
      <c r="G9" s="11" t="s">
        <v>54</v>
      </c>
      <c r="H9" s="14" t="s">
        <v>82</v>
      </c>
      <c r="I9" s="11" t="s">
        <v>83</v>
      </c>
      <c r="J9" s="11" t="s">
        <v>57</v>
      </c>
      <c r="K9" s="11" t="s">
        <v>84</v>
      </c>
      <c r="L9" s="14" t="s">
        <v>85</v>
      </c>
      <c r="M9" s="11" t="s">
        <v>86</v>
      </c>
      <c r="N9" s="11" t="s">
        <v>61</v>
      </c>
      <c r="O9" s="11" t="s">
        <v>62</v>
      </c>
      <c r="P9" s="15" t="n">
        <v>3</v>
      </c>
      <c r="Q9" s="15" t="n">
        <v>2</v>
      </c>
      <c r="R9" s="11" t="s">
        <v>87</v>
      </c>
    </row>
    <row r="10" customFormat="false" ht="63.75" hidden="false" customHeight="true" outlineLevel="0" collapsed="false">
      <c r="A10" s="11" t="n">
        <v>6</v>
      </c>
      <c r="B10" s="12" t="n">
        <v>46363</v>
      </c>
      <c r="C10" s="11" t="s">
        <v>88</v>
      </c>
      <c r="D10" s="11" t="s">
        <v>51</v>
      </c>
      <c r="E10" s="11" t="s">
        <v>89</v>
      </c>
      <c r="F10" s="13" t="s">
        <v>90</v>
      </c>
      <c r="G10" s="11" t="s">
        <v>91</v>
      </c>
      <c r="H10" s="14" t="s">
        <v>92</v>
      </c>
      <c r="I10" s="11" t="s">
        <v>93</v>
      </c>
      <c r="J10" s="11" t="s">
        <v>57</v>
      </c>
      <c r="K10" s="11" t="s">
        <v>94</v>
      </c>
      <c r="L10" s="14" t="s">
        <v>95</v>
      </c>
      <c r="M10" s="11" t="s">
        <v>96</v>
      </c>
      <c r="N10" s="11" t="s">
        <v>61</v>
      </c>
      <c r="O10" s="11" t="s">
        <v>97</v>
      </c>
      <c r="P10" s="15" t="n">
        <v>3.5</v>
      </c>
      <c r="Q10" s="15" t="n">
        <v>2.5</v>
      </c>
      <c r="R10" s="11"/>
    </row>
    <row r="11" customFormat="false" ht="63.75" hidden="false" customHeight="true" outlineLevel="0" collapsed="false">
      <c r="A11" s="11" t="n">
        <v>7</v>
      </c>
      <c r="B11" s="12" t="n">
        <v>46370</v>
      </c>
      <c r="C11" s="11" t="s">
        <v>88</v>
      </c>
      <c r="D11" s="11" t="s">
        <v>51</v>
      </c>
      <c r="E11" s="11" t="s">
        <v>89</v>
      </c>
      <c r="F11" s="13" t="s">
        <v>53</v>
      </c>
      <c r="G11" s="11" t="s">
        <v>69</v>
      </c>
      <c r="H11" s="14" t="s">
        <v>98</v>
      </c>
      <c r="I11" s="11" t="s">
        <v>99</v>
      </c>
      <c r="J11" s="11" t="s">
        <v>57</v>
      </c>
      <c r="K11" s="11" t="s">
        <v>100</v>
      </c>
      <c r="L11" s="14" t="s">
        <v>101</v>
      </c>
      <c r="M11" s="11" t="s">
        <v>102</v>
      </c>
      <c r="N11" s="11" t="s">
        <v>61</v>
      </c>
      <c r="O11" s="11" t="s">
        <v>97</v>
      </c>
      <c r="P11" s="15" t="n">
        <v>3.5</v>
      </c>
      <c r="Q11" s="15" t="n">
        <v>2.5</v>
      </c>
      <c r="R11" s="11" t="s">
        <v>103</v>
      </c>
    </row>
    <row r="12" customFormat="false" ht="63.75" hidden="false" customHeight="true" outlineLevel="0" collapsed="false">
      <c r="A12" s="11" t="n">
        <v>8</v>
      </c>
      <c r="B12" s="12" t="n">
        <v>46377</v>
      </c>
      <c r="C12" s="11" t="s">
        <v>88</v>
      </c>
      <c r="D12" s="11" t="s">
        <v>51</v>
      </c>
      <c r="E12" s="11" t="s">
        <v>104</v>
      </c>
      <c r="F12" s="11" t="s">
        <v>105</v>
      </c>
      <c r="G12" s="11" t="s">
        <v>105</v>
      </c>
      <c r="H12" s="14" t="s">
        <v>105</v>
      </c>
      <c r="I12" s="11" t="s">
        <v>106</v>
      </c>
      <c r="J12" s="11" t="s">
        <v>105</v>
      </c>
      <c r="K12" s="11" t="s">
        <v>105</v>
      </c>
      <c r="L12" s="11" t="s">
        <v>105</v>
      </c>
      <c r="M12" s="11" t="s">
        <v>105</v>
      </c>
      <c r="N12" s="11" t="s">
        <v>107</v>
      </c>
      <c r="O12" s="11" t="s">
        <v>97</v>
      </c>
      <c r="P12" s="15" t="n">
        <v>1</v>
      </c>
      <c r="Q12" s="15" t="n">
        <v>1</v>
      </c>
      <c r="R12" s="11" t="s">
        <v>108</v>
      </c>
    </row>
    <row r="13" customFormat="false" ht="63.75" hidden="false" customHeight="true" outlineLevel="0" collapsed="false">
      <c r="A13" s="11" t="n">
        <v>9</v>
      </c>
      <c r="B13" s="12" t="n">
        <v>46384</v>
      </c>
      <c r="C13" s="11" t="s">
        <v>88</v>
      </c>
      <c r="D13" s="11" t="s">
        <v>51</v>
      </c>
      <c r="E13" s="11" t="s">
        <v>104</v>
      </c>
      <c r="F13" s="11" t="s">
        <v>105</v>
      </c>
      <c r="G13" s="11" t="s">
        <v>105</v>
      </c>
      <c r="H13" s="14" t="s">
        <v>105</v>
      </c>
      <c r="I13" s="11" t="s">
        <v>109</v>
      </c>
      <c r="J13" s="11" t="s">
        <v>105</v>
      </c>
      <c r="K13" s="11" t="s">
        <v>105</v>
      </c>
      <c r="L13" s="11" t="s">
        <v>105</v>
      </c>
      <c r="M13" s="11" t="s">
        <v>105</v>
      </c>
      <c r="N13" s="11" t="s">
        <v>107</v>
      </c>
      <c r="O13" s="11" t="s">
        <v>97</v>
      </c>
      <c r="P13" s="15" t="n">
        <v>0</v>
      </c>
      <c r="Q13" s="15" t="n">
        <v>0</v>
      </c>
      <c r="R13" s="11" t="s">
        <v>110</v>
      </c>
    </row>
    <row r="14" customFormat="false" ht="63.75" hidden="false" customHeight="true" outlineLevel="0" collapsed="false">
      <c r="A14" s="17" t="n">
        <v>10</v>
      </c>
      <c r="B14" s="18" t="n">
        <v>46391</v>
      </c>
      <c r="C14" s="17" t="s">
        <v>111</v>
      </c>
      <c r="D14" s="17" t="s">
        <v>112</v>
      </c>
      <c r="E14" s="17" t="s">
        <v>113</v>
      </c>
      <c r="F14" s="19" t="s">
        <v>75</v>
      </c>
      <c r="G14" s="17" t="s">
        <v>76</v>
      </c>
      <c r="H14" s="20" t="s">
        <v>114</v>
      </c>
      <c r="I14" s="17" t="s">
        <v>115</v>
      </c>
      <c r="J14" s="17" t="s">
        <v>57</v>
      </c>
      <c r="K14" s="17" t="s">
        <v>116</v>
      </c>
      <c r="L14" s="20" t="s">
        <v>117</v>
      </c>
      <c r="M14" s="17" t="s">
        <v>118</v>
      </c>
      <c r="N14" s="17" t="s">
        <v>61</v>
      </c>
      <c r="O14" s="17" t="s">
        <v>119</v>
      </c>
      <c r="P14" s="21" t="n">
        <v>3.5</v>
      </c>
      <c r="Q14" s="21" t="n">
        <v>3</v>
      </c>
      <c r="R14" s="17"/>
    </row>
    <row r="15" customFormat="false" ht="63.75" hidden="false" customHeight="true" outlineLevel="0" collapsed="false">
      <c r="A15" s="17" t="n">
        <v>11</v>
      </c>
      <c r="B15" s="18" t="n">
        <v>46398</v>
      </c>
      <c r="C15" s="17" t="s">
        <v>111</v>
      </c>
      <c r="D15" s="17" t="s">
        <v>112</v>
      </c>
      <c r="E15" s="17" t="s">
        <v>113</v>
      </c>
      <c r="F15" s="22" t="s">
        <v>120</v>
      </c>
      <c r="G15" s="17" t="s">
        <v>121</v>
      </c>
      <c r="H15" s="20" t="s">
        <v>122</v>
      </c>
      <c r="I15" s="17" t="s">
        <v>123</v>
      </c>
      <c r="J15" s="17" t="s">
        <v>57</v>
      </c>
      <c r="K15" s="17" t="s">
        <v>124</v>
      </c>
      <c r="L15" s="20" t="s">
        <v>125</v>
      </c>
      <c r="M15" s="17" t="s">
        <v>126</v>
      </c>
      <c r="N15" s="17" t="s">
        <v>61</v>
      </c>
      <c r="O15" s="17" t="s">
        <v>119</v>
      </c>
      <c r="P15" s="21" t="n">
        <v>3.5</v>
      </c>
      <c r="Q15" s="21" t="n">
        <v>3</v>
      </c>
      <c r="R15" s="17"/>
    </row>
    <row r="16" customFormat="false" ht="63.75" hidden="false" customHeight="true" outlineLevel="0" collapsed="false">
      <c r="A16" s="17" t="n">
        <v>12</v>
      </c>
      <c r="B16" s="18" t="n">
        <v>46405</v>
      </c>
      <c r="C16" s="17" t="s">
        <v>111</v>
      </c>
      <c r="D16" s="17" t="s">
        <v>112</v>
      </c>
      <c r="E16" s="17" t="s">
        <v>113</v>
      </c>
      <c r="F16" s="19" t="s">
        <v>75</v>
      </c>
      <c r="G16" s="17" t="s">
        <v>76</v>
      </c>
      <c r="H16" s="20" t="s">
        <v>127</v>
      </c>
      <c r="I16" s="17" t="s">
        <v>128</v>
      </c>
      <c r="J16" s="17" t="s">
        <v>57</v>
      </c>
      <c r="K16" s="17" t="s">
        <v>129</v>
      </c>
      <c r="L16" s="20" t="s">
        <v>130</v>
      </c>
      <c r="M16" s="17" t="s">
        <v>131</v>
      </c>
      <c r="N16" s="17" t="s">
        <v>61</v>
      </c>
      <c r="O16" s="17" t="s">
        <v>119</v>
      </c>
      <c r="P16" s="21" t="n">
        <v>3.5</v>
      </c>
      <c r="Q16" s="21" t="n">
        <v>3</v>
      </c>
      <c r="R16" s="17"/>
    </row>
    <row r="17" customFormat="false" ht="63.75" hidden="false" customHeight="true" outlineLevel="0" collapsed="false">
      <c r="A17" s="17" t="n">
        <v>13</v>
      </c>
      <c r="B17" s="18" t="n">
        <v>46412</v>
      </c>
      <c r="C17" s="17" t="s">
        <v>111</v>
      </c>
      <c r="D17" s="17" t="s">
        <v>112</v>
      </c>
      <c r="E17" s="17" t="s">
        <v>113</v>
      </c>
      <c r="F17" s="22" t="s">
        <v>132</v>
      </c>
      <c r="G17" s="17" t="s">
        <v>121</v>
      </c>
      <c r="H17" s="20" t="s">
        <v>133</v>
      </c>
      <c r="I17" s="17" t="s">
        <v>134</v>
      </c>
      <c r="J17" s="17" t="s">
        <v>57</v>
      </c>
      <c r="K17" s="17" t="s">
        <v>135</v>
      </c>
      <c r="L17" s="20" t="s">
        <v>136</v>
      </c>
      <c r="M17" s="17" t="s">
        <v>137</v>
      </c>
      <c r="N17" s="17" t="s">
        <v>61</v>
      </c>
      <c r="O17" s="17" t="s">
        <v>119</v>
      </c>
      <c r="P17" s="21" t="n">
        <v>3.5</v>
      </c>
      <c r="Q17" s="21" t="n">
        <v>3</v>
      </c>
      <c r="R17" s="17"/>
    </row>
    <row r="18" customFormat="false" ht="63.75" hidden="false" customHeight="true" outlineLevel="0" collapsed="false">
      <c r="A18" s="17" t="n">
        <v>14</v>
      </c>
      <c r="B18" s="18" t="n">
        <v>46419</v>
      </c>
      <c r="C18" s="17" t="s">
        <v>138</v>
      </c>
      <c r="D18" s="17" t="s">
        <v>112</v>
      </c>
      <c r="E18" s="17" t="s">
        <v>139</v>
      </c>
      <c r="F18" s="17" t="s">
        <v>140</v>
      </c>
      <c r="G18" s="17" t="s">
        <v>141</v>
      </c>
      <c r="H18" s="20" t="s">
        <v>142</v>
      </c>
      <c r="I18" s="17" t="s">
        <v>143</v>
      </c>
      <c r="J18" s="17" t="s">
        <v>57</v>
      </c>
      <c r="K18" s="17" t="s">
        <v>144</v>
      </c>
      <c r="L18" s="20" t="s">
        <v>145</v>
      </c>
      <c r="M18" s="17" t="s">
        <v>146</v>
      </c>
      <c r="N18" s="17" t="s">
        <v>61</v>
      </c>
      <c r="O18" s="17" t="s">
        <v>147</v>
      </c>
      <c r="P18" s="21" t="n">
        <v>3.5</v>
      </c>
      <c r="Q18" s="21" t="n">
        <v>3.5</v>
      </c>
      <c r="R18" s="17"/>
    </row>
    <row r="19" customFormat="false" ht="63.75" hidden="false" customHeight="true" outlineLevel="0" collapsed="false">
      <c r="A19" s="17" t="n">
        <v>15</v>
      </c>
      <c r="B19" s="18" t="n">
        <v>46426</v>
      </c>
      <c r="C19" s="17" t="s">
        <v>138</v>
      </c>
      <c r="D19" s="17" t="s">
        <v>112</v>
      </c>
      <c r="E19" s="17" t="s">
        <v>139</v>
      </c>
      <c r="F19" s="17" t="s">
        <v>140</v>
      </c>
      <c r="G19" s="17" t="s">
        <v>148</v>
      </c>
      <c r="H19" s="20" t="s">
        <v>149</v>
      </c>
      <c r="I19" s="17" t="s">
        <v>150</v>
      </c>
      <c r="J19" s="17" t="s">
        <v>57</v>
      </c>
      <c r="K19" s="17" t="s">
        <v>151</v>
      </c>
      <c r="L19" s="20" t="s">
        <v>152</v>
      </c>
      <c r="M19" s="17" t="s">
        <v>153</v>
      </c>
      <c r="N19" s="17" t="s">
        <v>61</v>
      </c>
      <c r="O19" s="17" t="s">
        <v>147</v>
      </c>
      <c r="P19" s="21" t="n">
        <v>3.5</v>
      </c>
      <c r="Q19" s="21" t="n">
        <v>3.5</v>
      </c>
      <c r="R19" s="17" t="s">
        <v>154</v>
      </c>
    </row>
    <row r="20" customFormat="false" ht="63.75" hidden="false" customHeight="true" outlineLevel="0" collapsed="false">
      <c r="A20" s="17" t="n">
        <v>16</v>
      </c>
      <c r="B20" s="18" t="n">
        <v>46433</v>
      </c>
      <c r="C20" s="17" t="s">
        <v>138</v>
      </c>
      <c r="D20" s="17" t="s">
        <v>112</v>
      </c>
      <c r="E20" s="17" t="s">
        <v>139</v>
      </c>
      <c r="F20" s="17" t="s">
        <v>140</v>
      </c>
      <c r="G20" s="17" t="s">
        <v>155</v>
      </c>
      <c r="H20" s="20" t="s">
        <v>156</v>
      </c>
      <c r="I20" s="17" t="s">
        <v>157</v>
      </c>
      <c r="J20" s="17" t="s">
        <v>57</v>
      </c>
      <c r="K20" s="17" t="s">
        <v>158</v>
      </c>
      <c r="L20" s="20" t="s">
        <v>159</v>
      </c>
      <c r="M20" s="17" t="s">
        <v>160</v>
      </c>
      <c r="N20" s="17" t="s">
        <v>61</v>
      </c>
      <c r="O20" s="17" t="s">
        <v>147</v>
      </c>
      <c r="P20" s="21" t="n">
        <v>3.5</v>
      </c>
      <c r="Q20" s="21" t="n">
        <v>3.5</v>
      </c>
      <c r="R20" s="17"/>
    </row>
    <row r="21" customFormat="false" ht="63.75" hidden="false" customHeight="true" outlineLevel="0" collapsed="false">
      <c r="A21" s="17" t="n">
        <v>17</v>
      </c>
      <c r="B21" s="18" t="n">
        <v>46440</v>
      </c>
      <c r="C21" s="17" t="s">
        <v>138</v>
      </c>
      <c r="D21" s="17" t="s">
        <v>112</v>
      </c>
      <c r="E21" s="17" t="s">
        <v>139</v>
      </c>
      <c r="F21" s="17" t="s">
        <v>140</v>
      </c>
      <c r="G21" s="17" t="s">
        <v>148</v>
      </c>
      <c r="H21" s="20" t="s">
        <v>161</v>
      </c>
      <c r="I21" s="17" t="s">
        <v>162</v>
      </c>
      <c r="J21" s="17" t="s">
        <v>57</v>
      </c>
      <c r="K21" s="17" t="s">
        <v>163</v>
      </c>
      <c r="L21" s="20" t="s">
        <v>164</v>
      </c>
      <c r="M21" s="17" t="s">
        <v>165</v>
      </c>
      <c r="N21" s="17" t="s">
        <v>61</v>
      </c>
      <c r="O21" s="17" t="s">
        <v>147</v>
      </c>
      <c r="P21" s="21" t="n">
        <v>3.5</v>
      </c>
      <c r="Q21" s="21" t="n">
        <v>3.5</v>
      </c>
      <c r="R21" s="17"/>
    </row>
    <row r="22" customFormat="false" ht="63.75" hidden="false" customHeight="true" outlineLevel="0" collapsed="false">
      <c r="A22" s="23" t="n">
        <v>18</v>
      </c>
      <c r="B22" s="24" t="n">
        <v>46447</v>
      </c>
      <c r="C22" s="23" t="s">
        <v>166</v>
      </c>
      <c r="D22" s="23" t="s">
        <v>167</v>
      </c>
      <c r="E22" s="23" t="s">
        <v>168</v>
      </c>
      <c r="F22" s="25" t="s">
        <v>169</v>
      </c>
      <c r="G22" s="23" t="s">
        <v>170</v>
      </c>
      <c r="H22" s="26" t="s">
        <v>171</v>
      </c>
      <c r="I22" s="23" t="s">
        <v>172</v>
      </c>
      <c r="J22" s="23" t="s">
        <v>173</v>
      </c>
      <c r="K22" s="23" t="s">
        <v>174</v>
      </c>
      <c r="L22" s="26" t="s">
        <v>175</v>
      </c>
      <c r="M22" s="23" t="s">
        <v>176</v>
      </c>
      <c r="N22" s="23" t="s">
        <v>177</v>
      </c>
      <c r="O22" s="23" t="s">
        <v>178</v>
      </c>
      <c r="P22" s="27" t="n">
        <v>4.5</v>
      </c>
      <c r="Q22" s="27" t="n">
        <v>3.5</v>
      </c>
      <c r="R22" s="23" t="s">
        <v>179</v>
      </c>
    </row>
    <row r="23" customFormat="false" ht="63.75" hidden="false" customHeight="true" outlineLevel="0" collapsed="false">
      <c r="A23" s="23" t="n">
        <v>19</v>
      </c>
      <c r="B23" s="24" t="n">
        <v>46454</v>
      </c>
      <c r="C23" s="23" t="s">
        <v>166</v>
      </c>
      <c r="D23" s="23" t="s">
        <v>167</v>
      </c>
      <c r="E23" s="23" t="s">
        <v>168</v>
      </c>
      <c r="F23" s="25" t="s">
        <v>169</v>
      </c>
      <c r="G23" s="23" t="s">
        <v>170</v>
      </c>
      <c r="H23" s="26" t="s">
        <v>180</v>
      </c>
      <c r="I23" s="23" t="s">
        <v>181</v>
      </c>
      <c r="J23" s="23" t="s">
        <v>173</v>
      </c>
      <c r="K23" s="23" t="s">
        <v>182</v>
      </c>
      <c r="L23" s="26" t="s">
        <v>183</v>
      </c>
      <c r="M23" s="23" t="s">
        <v>184</v>
      </c>
      <c r="N23" s="23" t="s">
        <v>177</v>
      </c>
      <c r="O23" s="23" t="s">
        <v>178</v>
      </c>
      <c r="P23" s="27" t="n">
        <v>4.5</v>
      </c>
      <c r="Q23" s="27" t="n">
        <v>3.5</v>
      </c>
      <c r="R23" s="23"/>
    </row>
    <row r="24" customFormat="false" ht="63.75" hidden="false" customHeight="true" outlineLevel="0" collapsed="false">
      <c r="A24" s="23" t="n">
        <v>20</v>
      </c>
      <c r="B24" s="24" t="n">
        <v>46461</v>
      </c>
      <c r="C24" s="23" t="s">
        <v>166</v>
      </c>
      <c r="D24" s="23" t="s">
        <v>167</v>
      </c>
      <c r="E24" s="23" t="s">
        <v>168</v>
      </c>
      <c r="F24" s="28" t="s">
        <v>90</v>
      </c>
      <c r="G24" s="23" t="s">
        <v>185</v>
      </c>
      <c r="H24" s="26" t="s">
        <v>186</v>
      </c>
      <c r="I24" s="23" t="s">
        <v>187</v>
      </c>
      <c r="J24" s="23" t="s">
        <v>173</v>
      </c>
      <c r="K24" s="23" t="s">
        <v>188</v>
      </c>
      <c r="L24" s="26" t="s">
        <v>189</v>
      </c>
      <c r="M24" s="23" t="s">
        <v>190</v>
      </c>
      <c r="N24" s="23" t="s">
        <v>177</v>
      </c>
      <c r="O24" s="23" t="s">
        <v>178</v>
      </c>
      <c r="P24" s="27" t="n">
        <v>4.5</v>
      </c>
      <c r="Q24" s="27" t="n">
        <v>3.5</v>
      </c>
      <c r="R24" s="23"/>
    </row>
    <row r="25" customFormat="false" ht="63.75" hidden="false" customHeight="true" outlineLevel="0" collapsed="false">
      <c r="A25" s="23" t="n">
        <v>21</v>
      </c>
      <c r="B25" s="24" t="n">
        <v>46468</v>
      </c>
      <c r="C25" s="23" t="s">
        <v>166</v>
      </c>
      <c r="D25" s="23" t="s">
        <v>167</v>
      </c>
      <c r="E25" s="23" t="s">
        <v>168</v>
      </c>
      <c r="F25" s="28" t="s">
        <v>90</v>
      </c>
      <c r="G25" s="23" t="s">
        <v>191</v>
      </c>
      <c r="H25" s="26" t="s">
        <v>192</v>
      </c>
      <c r="I25" s="23" t="s">
        <v>193</v>
      </c>
      <c r="J25" s="23" t="s">
        <v>173</v>
      </c>
      <c r="K25" s="23" t="s">
        <v>194</v>
      </c>
      <c r="L25" s="26" t="s">
        <v>195</v>
      </c>
      <c r="M25" s="23" t="s">
        <v>196</v>
      </c>
      <c r="N25" s="23" t="s">
        <v>177</v>
      </c>
      <c r="O25" s="23" t="s">
        <v>178</v>
      </c>
      <c r="P25" s="27" t="n">
        <v>4.5</v>
      </c>
      <c r="Q25" s="27" t="n">
        <v>3.5</v>
      </c>
      <c r="R25" s="23"/>
    </row>
    <row r="26" customFormat="false" ht="63.75" hidden="false" customHeight="true" outlineLevel="0" collapsed="false">
      <c r="A26" s="23" t="n">
        <v>22</v>
      </c>
      <c r="B26" s="24" t="n">
        <v>46475</v>
      </c>
      <c r="C26" s="23" t="s">
        <v>166</v>
      </c>
      <c r="D26" s="23" t="s">
        <v>167</v>
      </c>
      <c r="E26" s="23" t="s">
        <v>168</v>
      </c>
      <c r="F26" s="28" t="s">
        <v>90</v>
      </c>
      <c r="G26" s="23" t="s">
        <v>191</v>
      </c>
      <c r="H26" s="26" t="s">
        <v>197</v>
      </c>
      <c r="I26" s="23" t="s">
        <v>198</v>
      </c>
      <c r="J26" s="23" t="s">
        <v>173</v>
      </c>
      <c r="K26" s="23" t="s">
        <v>199</v>
      </c>
      <c r="L26" s="26" t="s">
        <v>200</v>
      </c>
      <c r="M26" s="23" t="s">
        <v>201</v>
      </c>
      <c r="N26" s="23" t="s">
        <v>177</v>
      </c>
      <c r="O26" s="23" t="s">
        <v>178</v>
      </c>
      <c r="P26" s="27" t="n">
        <v>4.5</v>
      </c>
      <c r="Q26" s="27" t="n">
        <v>3.5</v>
      </c>
      <c r="R26" s="23"/>
    </row>
    <row r="27" customFormat="false" ht="63.75" hidden="false" customHeight="true" outlineLevel="0" collapsed="false">
      <c r="A27" s="23" t="n">
        <v>23</v>
      </c>
      <c r="B27" s="24" t="n">
        <v>46482</v>
      </c>
      <c r="C27" s="23" t="s">
        <v>202</v>
      </c>
      <c r="D27" s="23" t="s">
        <v>167</v>
      </c>
      <c r="E27" s="23" t="s">
        <v>203</v>
      </c>
      <c r="F27" s="23" t="s">
        <v>140</v>
      </c>
      <c r="G27" s="23" t="s">
        <v>204</v>
      </c>
      <c r="H27" s="26" t="s">
        <v>205</v>
      </c>
      <c r="I27" s="23" t="s">
        <v>206</v>
      </c>
      <c r="J27" s="23" t="s">
        <v>173</v>
      </c>
      <c r="K27" s="23" t="s">
        <v>207</v>
      </c>
      <c r="L27" s="26" t="s">
        <v>208</v>
      </c>
      <c r="M27" s="23" t="s">
        <v>209</v>
      </c>
      <c r="N27" s="23" t="s">
        <v>177</v>
      </c>
      <c r="O27" s="23" t="s">
        <v>210</v>
      </c>
      <c r="P27" s="27" t="n">
        <v>3.5</v>
      </c>
      <c r="Q27" s="27" t="n">
        <v>4</v>
      </c>
      <c r="R27" s="23"/>
    </row>
    <row r="28" customFormat="false" ht="63.75" hidden="false" customHeight="true" outlineLevel="0" collapsed="false">
      <c r="A28" s="23" t="n">
        <v>24</v>
      </c>
      <c r="B28" s="24" t="n">
        <v>46489</v>
      </c>
      <c r="C28" s="23" t="s">
        <v>202</v>
      </c>
      <c r="D28" s="23" t="s">
        <v>167</v>
      </c>
      <c r="E28" s="23" t="s">
        <v>203</v>
      </c>
      <c r="F28" s="28" t="s">
        <v>90</v>
      </c>
      <c r="G28" s="23" t="s">
        <v>69</v>
      </c>
      <c r="H28" s="26" t="s">
        <v>211</v>
      </c>
      <c r="I28" s="23" t="s">
        <v>212</v>
      </c>
      <c r="J28" s="23" t="s">
        <v>173</v>
      </c>
      <c r="K28" s="23" t="s">
        <v>213</v>
      </c>
      <c r="L28" s="26" t="s">
        <v>214</v>
      </c>
      <c r="M28" s="23" t="s">
        <v>215</v>
      </c>
      <c r="N28" s="23" t="s">
        <v>177</v>
      </c>
      <c r="O28" s="23" t="s">
        <v>210</v>
      </c>
      <c r="P28" s="27" t="n">
        <v>3.5</v>
      </c>
      <c r="Q28" s="27" t="n">
        <v>4</v>
      </c>
      <c r="R28" s="23"/>
    </row>
    <row r="29" customFormat="false" ht="63.75" hidden="false" customHeight="true" outlineLevel="0" collapsed="false">
      <c r="A29" s="23" t="n">
        <v>25</v>
      </c>
      <c r="B29" s="24" t="n">
        <v>46496</v>
      </c>
      <c r="C29" s="23" t="s">
        <v>202</v>
      </c>
      <c r="D29" s="23" t="s">
        <v>167</v>
      </c>
      <c r="E29" s="23" t="s">
        <v>203</v>
      </c>
      <c r="F29" s="28" t="s">
        <v>90</v>
      </c>
      <c r="G29" s="23" t="s">
        <v>216</v>
      </c>
      <c r="H29" s="26" t="s">
        <v>217</v>
      </c>
      <c r="I29" s="23" t="s">
        <v>218</v>
      </c>
      <c r="J29" s="23" t="s">
        <v>173</v>
      </c>
      <c r="K29" s="23" t="s">
        <v>219</v>
      </c>
      <c r="L29" s="26" t="s">
        <v>220</v>
      </c>
      <c r="M29" s="23" t="s">
        <v>221</v>
      </c>
      <c r="N29" s="23" t="s">
        <v>177</v>
      </c>
      <c r="O29" s="23" t="s">
        <v>210</v>
      </c>
      <c r="P29" s="27" t="n">
        <v>3.5</v>
      </c>
      <c r="Q29" s="27" t="n">
        <v>4</v>
      </c>
      <c r="R29" s="23"/>
    </row>
    <row r="30" customFormat="false" ht="63.75" hidden="false" customHeight="true" outlineLevel="0" collapsed="false">
      <c r="A30" s="23" t="n">
        <v>26</v>
      </c>
      <c r="B30" s="24" t="n">
        <v>46503</v>
      </c>
      <c r="C30" s="23" t="s">
        <v>202</v>
      </c>
      <c r="D30" s="23" t="s">
        <v>167</v>
      </c>
      <c r="E30" s="23" t="s">
        <v>203</v>
      </c>
      <c r="F30" s="23" t="s">
        <v>222</v>
      </c>
      <c r="G30" s="23" t="s">
        <v>204</v>
      </c>
      <c r="H30" s="26" t="s">
        <v>223</v>
      </c>
      <c r="I30" s="23" t="s">
        <v>224</v>
      </c>
      <c r="J30" s="23" t="s">
        <v>173</v>
      </c>
      <c r="K30" s="23" t="s">
        <v>225</v>
      </c>
      <c r="L30" s="26" t="s">
        <v>226</v>
      </c>
      <c r="M30" s="23" t="s">
        <v>227</v>
      </c>
      <c r="N30" s="23" t="s">
        <v>177</v>
      </c>
      <c r="O30" s="23" t="s">
        <v>210</v>
      </c>
      <c r="P30" s="27" t="n">
        <v>3.5</v>
      </c>
      <c r="Q30" s="27" t="n">
        <v>4</v>
      </c>
      <c r="R30" s="23" t="s">
        <v>228</v>
      </c>
    </row>
    <row r="31" customFormat="false" ht="63.75" hidden="false" customHeight="true" outlineLevel="0" collapsed="false">
      <c r="A31" s="29" t="n">
        <v>27</v>
      </c>
      <c r="B31" s="30" t="n">
        <v>46510</v>
      </c>
      <c r="C31" s="29" t="s">
        <v>229</v>
      </c>
      <c r="D31" s="29" t="s">
        <v>230</v>
      </c>
      <c r="E31" s="29" t="s">
        <v>231</v>
      </c>
      <c r="F31" s="31" t="s">
        <v>90</v>
      </c>
      <c r="G31" s="29" t="s">
        <v>91</v>
      </c>
      <c r="H31" s="32" t="s">
        <v>232</v>
      </c>
      <c r="I31" s="29" t="s">
        <v>233</v>
      </c>
      <c r="J31" s="29" t="s">
        <v>234</v>
      </c>
      <c r="K31" s="29" t="s">
        <v>163</v>
      </c>
      <c r="L31" s="32" t="s">
        <v>235</v>
      </c>
      <c r="M31" s="29" t="s">
        <v>236</v>
      </c>
      <c r="N31" s="29" t="s">
        <v>237</v>
      </c>
      <c r="O31" s="29" t="s">
        <v>238</v>
      </c>
      <c r="P31" s="33" t="n">
        <v>3</v>
      </c>
      <c r="Q31" s="33" t="n">
        <v>4.5</v>
      </c>
      <c r="R31" s="29" t="s">
        <v>239</v>
      </c>
    </row>
    <row r="32" customFormat="false" ht="63.75" hidden="false" customHeight="true" outlineLevel="0" collapsed="false">
      <c r="A32" s="29" t="n">
        <v>28</v>
      </c>
      <c r="B32" s="30" t="n">
        <v>46517</v>
      </c>
      <c r="C32" s="29" t="s">
        <v>229</v>
      </c>
      <c r="D32" s="29" t="s">
        <v>230</v>
      </c>
      <c r="E32" s="29" t="s">
        <v>231</v>
      </c>
      <c r="F32" s="31" t="s">
        <v>90</v>
      </c>
      <c r="G32" s="29" t="s">
        <v>191</v>
      </c>
      <c r="H32" s="32" t="s">
        <v>192</v>
      </c>
      <c r="I32" s="29" t="s">
        <v>240</v>
      </c>
      <c r="J32" s="29" t="s">
        <v>234</v>
      </c>
      <c r="K32" s="29" t="s">
        <v>194</v>
      </c>
      <c r="L32" s="32" t="s">
        <v>195</v>
      </c>
      <c r="M32" s="29" t="s">
        <v>241</v>
      </c>
      <c r="N32" s="29" t="s">
        <v>237</v>
      </c>
      <c r="O32" s="29" t="s">
        <v>238</v>
      </c>
      <c r="P32" s="33" t="n">
        <v>3</v>
      </c>
      <c r="Q32" s="33" t="n">
        <v>4.5</v>
      </c>
      <c r="R32" s="29"/>
    </row>
    <row r="33" customFormat="false" ht="63.75" hidden="false" customHeight="true" outlineLevel="0" collapsed="false">
      <c r="A33" s="29" t="n">
        <v>29</v>
      </c>
      <c r="B33" s="30" t="n">
        <v>46524</v>
      </c>
      <c r="C33" s="29" t="s">
        <v>229</v>
      </c>
      <c r="D33" s="29" t="s">
        <v>230</v>
      </c>
      <c r="E33" s="29" t="s">
        <v>231</v>
      </c>
      <c r="F33" s="29" t="s">
        <v>242</v>
      </c>
      <c r="G33" s="29" t="s">
        <v>105</v>
      </c>
      <c r="H33" s="32" t="s">
        <v>242</v>
      </c>
      <c r="I33" s="29" t="s">
        <v>243</v>
      </c>
      <c r="J33" s="29" t="s">
        <v>234</v>
      </c>
      <c r="K33" s="29" t="s">
        <v>244</v>
      </c>
      <c r="L33" s="32" t="s">
        <v>245</v>
      </c>
      <c r="M33" s="29" t="s">
        <v>246</v>
      </c>
      <c r="N33" s="29" t="s">
        <v>237</v>
      </c>
      <c r="O33" s="29" t="s">
        <v>238</v>
      </c>
      <c r="P33" s="33" t="n">
        <v>3</v>
      </c>
      <c r="Q33" s="33" t="n">
        <v>4.5</v>
      </c>
      <c r="R33" s="29"/>
    </row>
    <row r="34" customFormat="false" ht="63.75" hidden="false" customHeight="true" outlineLevel="0" collapsed="false">
      <c r="A34" s="29" t="n">
        <v>30</v>
      </c>
      <c r="B34" s="30" t="n">
        <v>46531</v>
      </c>
      <c r="C34" s="29" t="s">
        <v>229</v>
      </c>
      <c r="D34" s="29" t="s">
        <v>230</v>
      </c>
      <c r="E34" s="29" t="s">
        <v>231</v>
      </c>
      <c r="F34" s="29" t="s">
        <v>242</v>
      </c>
      <c r="G34" s="29" t="s">
        <v>105</v>
      </c>
      <c r="H34" s="32" t="s">
        <v>242</v>
      </c>
      <c r="I34" s="29" t="s">
        <v>247</v>
      </c>
      <c r="J34" s="29" t="s">
        <v>234</v>
      </c>
      <c r="K34" s="29" t="s">
        <v>248</v>
      </c>
      <c r="L34" s="32" t="s">
        <v>249</v>
      </c>
      <c r="M34" s="29" t="s">
        <v>250</v>
      </c>
      <c r="N34" s="29" t="s">
        <v>237</v>
      </c>
      <c r="O34" s="29" t="s">
        <v>238</v>
      </c>
      <c r="P34" s="33" t="n">
        <v>3</v>
      </c>
      <c r="Q34" s="33" t="n">
        <v>4.5</v>
      </c>
      <c r="R34" s="29"/>
    </row>
    <row r="35" customFormat="false" ht="63.75" hidden="false" customHeight="true" outlineLevel="0" collapsed="false">
      <c r="A35" s="29" t="n">
        <v>31</v>
      </c>
      <c r="B35" s="30" t="n">
        <v>46538</v>
      </c>
      <c r="C35" s="29" t="s">
        <v>229</v>
      </c>
      <c r="D35" s="29" t="s">
        <v>230</v>
      </c>
      <c r="E35" s="29" t="s">
        <v>231</v>
      </c>
      <c r="F35" s="31" t="s">
        <v>90</v>
      </c>
      <c r="G35" s="29" t="s">
        <v>91</v>
      </c>
      <c r="H35" s="32" t="s">
        <v>251</v>
      </c>
      <c r="I35" s="29" t="s">
        <v>252</v>
      </c>
      <c r="J35" s="29" t="s">
        <v>234</v>
      </c>
      <c r="K35" s="29" t="s">
        <v>253</v>
      </c>
      <c r="L35" s="32" t="s">
        <v>254</v>
      </c>
      <c r="M35" s="29" t="s">
        <v>255</v>
      </c>
      <c r="N35" s="29" t="s">
        <v>237</v>
      </c>
      <c r="O35" s="29" t="s">
        <v>238</v>
      </c>
      <c r="P35" s="33" t="n">
        <v>3</v>
      </c>
      <c r="Q35" s="33" t="n">
        <v>4.5</v>
      </c>
      <c r="R35" s="29"/>
    </row>
    <row r="36" customFormat="false" ht="63.75" hidden="false" customHeight="true" outlineLevel="0" collapsed="false">
      <c r="A36" s="29" t="n">
        <v>32</v>
      </c>
      <c r="B36" s="30" t="n">
        <v>46545</v>
      </c>
      <c r="C36" s="29" t="s">
        <v>256</v>
      </c>
      <c r="D36" s="29" t="s">
        <v>230</v>
      </c>
      <c r="E36" s="29" t="s">
        <v>231</v>
      </c>
      <c r="F36" s="34" t="s">
        <v>169</v>
      </c>
      <c r="G36" s="29" t="s">
        <v>170</v>
      </c>
      <c r="H36" s="32" t="s">
        <v>257</v>
      </c>
      <c r="I36" s="29" t="s">
        <v>258</v>
      </c>
      <c r="J36" s="29" t="s">
        <v>234</v>
      </c>
      <c r="K36" s="29" t="s">
        <v>259</v>
      </c>
      <c r="L36" s="32" t="s">
        <v>260</v>
      </c>
      <c r="M36" s="29" t="s">
        <v>255</v>
      </c>
      <c r="N36" s="29" t="s">
        <v>237</v>
      </c>
      <c r="O36" s="29" t="s">
        <v>238</v>
      </c>
      <c r="P36" s="33" t="n">
        <v>3</v>
      </c>
      <c r="Q36" s="33" t="n">
        <v>4.5</v>
      </c>
      <c r="R36" s="29"/>
    </row>
    <row r="37" customFormat="false" ht="63.75" hidden="false" customHeight="true" outlineLevel="0" collapsed="false">
      <c r="A37" s="29" t="n">
        <v>33</v>
      </c>
      <c r="B37" s="30" t="n">
        <v>46552</v>
      </c>
      <c r="C37" s="29" t="s">
        <v>256</v>
      </c>
      <c r="D37" s="29" t="s">
        <v>230</v>
      </c>
      <c r="E37" s="29" t="s">
        <v>231</v>
      </c>
      <c r="F37" s="35" t="s">
        <v>75</v>
      </c>
      <c r="G37" s="29" t="s">
        <v>76</v>
      </c>
      <c r="H37" s="32" t="s">
        <v>261</v>
      </c>
      <c r="I37" s="29" t="s">
        <v>262</v>
      </c>
      <c r="J37" s="29" t="s">
        <v>234</v>
      </c>
      <c r="K37" s="29" t="s">
        <v>263</v>
      </c>
      <c r="L37" s="32" t="s">
        <v>264</v>
      </c>
      <c r="M37" s="29" t="s">
        <v>255</v>
      </c>
      <c r="N37" s="29" t="s">
        <v>237</v>
      </c>
      <c r="O37" s="29" t="s">
        <v>238</v>
      </c>
      <c r="P37" s="33" t="n">
        <v>3</v>
      </c>
      <c r="Q37" s="33" t="n">
        <v>4.5</v>
      </c>
      <c r="R37" s="29"/>
    </row>
    <row r="38" customFormat="false" ht="63.75" hidden="false" customHeight="true" outlineLevel="0" collapsed="false">
      <c r="A38" s="29" t="n">
        <v>34</v>
      </c>
      <c r="B38" s="30" t="n">
        <v>46559</v>
      </c>
      <c r="C38" s="29" t="s">
        <v>256</v>
      </c>
      <c r="D38" s="29" t="s">
        <v>230</v>
      </c>
      <c r="E38" s="29" t="s">
        <v>231</v>
      </c>
      <c r="F38" s="36" t="s">
        <v>120</v>
      </c>
      <c r="G38" s="29" t="s">
        <v>121</v>
      </c>
      <c r="H38" s="32" t="s">
        <v>122</v>
      </c>
      <c r="I38" s="29" t="s">
        <v>123</v>
      </c>
      <c r="J38" s="29" t="s">
        <v>234</v>
      </c>
      <c r="K38" s="29" t="s">
        <v>265</v>
      </c>
      <c r="L38" s="32" t="s">
        <v>266</v>
      </c>
      <c r="M38" s="29" t="s">
        <v>255</v>
      </c>
      <c r="N38" s="29" t="s">
        <v>237</v>
      </c>
      <c r="O38" s="29" t="s">
        <v>238</v>
      </c>
      <c r="P38" s="33" t="n">
        <v>3</v>
      </c>
      <c r="Q38" s="33" t="n">
        <v>4.5</v>
      </c>
      <c r="R38" s="29"/>
    </row>
    <row r="39" customFormat="false" ht="63.75" hidden="false" customHeight="true" outlineLevel="0" collapsed="false">
      <c r="A39" s="29" t="n">
        <v>35</v>
      </c>
      <c r="B39" s="30" t="n">
        <v>46566</v>
      </c>
      <c r="C39" s="29" t="s">
        <v>256</v>
      </c>
      <c r="D39" s="29" t="s">
        <v>230</v>
      </c>
      <c r="E39" s="29" t="s">
        <v>231</v>
      </c>
      <c r="F39" s="31" t="s">
        <v>90</v>
      </c>
      <c r="G39" s="29" t="s">
        <v>191</v>
      </c>
      <c r="H39" s="32" t="s">
        <v>197</v>
      </c>
      <c r="I39" s="29" t="s">
        <v>267</v>
      </c>
      <c r="J39" s="29" t="s">
        <v>234</v>
      </c>
      <c r="K39" s="29" t="s">
        <v>268</v>
      </c>
      <c r="L39" s="32" t="s">
        <v>269</v>
      </c>
      <c r="M39" s="29" t="s">
        <v>255</v>
      </c>
      <c r="N39" s="29" t="s">
        <v>237</v>
      </c>
      <c r="O39" s="29" t="s">
        <v>238</v>
      </c>
      <c r="P39" s="33" t="n">
        <v>3</v>
      </c>
      <c r="Q39" s="33" t="n">
        <v>4.5</v>
      </c>
      <c r="R39" s="29" t="s">
        <v>270</v>
      </c>
    </row>
    <row r="40" customFormat="false" ht="63.75" hidden="false" customHeight="true" outlineLevel="0" collapsed="false">
      <c r="A40" s="37" t="n">
        <v>36</v>
      </c>
      <c r="B40" s="38" t="n">
        <v>46573</v>
      </c>
      <c r="C40" s="37" t="s">
        <v>271</v>
      </c>
      <c r="D40" s="37" t="s">
        <v>272</v>
      </c>
      <c r="E40" s="37" t="s">
        <v>273</v>
      </c>
      <c r="F40" s="39" t="s">
        <v>53</v>
      </c>
      <c r="G40" s="37" t="s">
        <v>274</v>
      </c>
      <c r="H40" s="40" t="s">
        <v>275</v>
      </c>
      <c r="I40" s="37" t="s">
        <v>276</v>
      </c>
      <c r="J40" s="37" t="s">
        <v>234</v>
      </c>
      <c r="K40" s="37" t="s">
        <v>248</v>
      </c>
      <c r="L40" s="40" t="s">
        <v>277</v>
      </c>
      <c r="M40" s="37" t="s">
        <v>255</v>
      </c>
      <c r="N40" s="37" t="s">
        <v>237</v>
      </c>
      <c r="O40" s="37" t="s">
        <v>278</v>
      </c>
      <c r="P40" s="41" t="n">
        <v>2.5</v>
      </c>
      <c r="Q40" s="41" t="n">
        <v>4</v>
      </c>
      <c r="R40" s="37"/>
    </row>
    <row r="41" customFormat="false" ht="63.75" hidden="false" customHeight="true" outlineLevel="0" collapsed="false">
      <c r="A41" s="37" t="n">
        <v>37</v>
      </c>
      <c r="B41" s="38" t="n">
        <v>46580</v>
      </c>
      <c r="C41" s="37" t="s">
        <v>271</v>
      </c>
      <c r="D41" s="37" t="s">
        <v>272</v>
      </c>
      <c r="E41" s="37" t="s">
        <v>273</v>
      </c>
      <c r="F41" s="39" t="s">
        <v>53</v>
      </c>
      <c r="G41" s="37" t="s">
        <v>274</v>
      </c>
      <c r="H41" s="40" t="s">
        <v>279</v>
      </c>
      <c r="I41" s="37" t="s">
        <v>280</v>
      </c>
      <c r="J41" s="37" t="s">
        <v>234</v>
      </c>
      <c r="K41" s="37" t="s">
        <v>281</v>
      </c>
      <c r="L41" s="40" t="s">
        <v>282</v>
      </c>
      <c r="M41" s="37" t="s">
        <v>255</v>
      </c>
      <c r="N41" s="37" t="s">
        <v>237</v>
      </c>
      <c r="O41" s="37" t="s">
        <v>278</v>
      </c>
      <c r="P41" s="41" t="n">
        <v>2.5</v>
      </c>
      <c r="Q41" s="41" t="n">
        <v>4</v>
      </c>
      <c r="R41" s="37"/>
    </row>
    <row r="42" customFormat="false" ht="63.75" hidden="false" customHeight="true" outlineLevel="0" collapsed="false">
      <c r="A42" s="37" t="n">
        <v>38</v>
      </c>
      <c r="B42" s="38" t="n">
        <v>46587</v>
      </c>
      <c r="C42" s="37" t="s">
        <v>271</v>
      </c>
      <c r="D42" s="37" t="s">
        <v>272</v>
      </c>
      <c r="E42" s="37" t="s">
        <v>283</v>
      </c>
      <c r="F42" s="37" t="s">
        <v>105</v>
      </c>
      <c r="G42" s="37" t="s">
        <v>105</v>
      </c>
      <c r="H42" s="40" t="s">
        <v>105</v>
      </c>
      <c r="I42" s="37" t="s">
        <v>109</v>
      </c>
      <c r="J42" s="37" t="s">
        <v>105</v>
      </c>
      <c r="K42" s="37" t="s">
        <v>105</v>
      </c>
      <c r="L42" s="37" t="s">
        <v>105</v>
      </c>
      <c r="M42" s="37" t="s">
        <v>105</v>
      </c>
      <c r="N42" s="37" t="s">
        <v>107</v>
      </c>
      <c r="O42" s="37" t="s">
        <v>283</v>
      </c>
      <c r="P42" s="41" t="n">
        <v>0</v>
      </c>
      <c r="Q42" s="41" t="n">
        <v>0</v>
      </c>
      <c r="R42" s="37" t="s">
        <v>284</v>
      </c>
    </row>
    <row r="43" customFormat="false" ht="63.75" hidden="false" customHeight="true" outlineLevel="0" collapsed="false">
      <c r="A43" s="37" t="n">
        <v>39</v>
      </c>
      <c r="B43" s="38" t="n">
        <v>46594</v>
      </c>
      <c r="C43" s="37" t="s">
        <v>271</v>
      </c>
      <c r="D43" s="37" t="s">
        <v>272</v>
      </c>
      <c r="E43" s="37" t="s">
        <v>283</v>
      </c>
      <c r="F43" s="37" t="s">
        <v>105</v>
      </c>
      <c r="G43" s="37" t="s">
        <v>105</v>
      </c>
      <c r="H43" s="40" t="s">
        <v>105</v>
      </c>
      <c r="I43" s="37" t="s">
        <v>109</v>
      </c>
      <c r="J43" s="37" t="s">
        <v>105</v>
      </c>
      <c r="K43" s="37" t="s">
        <v>105</v>
      </c>
      <c r="L43" s="37" t="s">
        <v>105</v>
      </c>
      <c r="M43" s="37" t="s">
        <v>105</v>
      </c>
      <c r="N43" s="37" t="s">
        <v>107</v>
      </c>
      <c r="O43" s="37" t="s">
        <v>283</v>
      </c>
      <c r="P43" s="41" t="n">
        <v>0</v>
      </c>
      <c r="Q43" s="41" t="n">
        <v>0</v>
      </c>
      <c r="R43" s="37" t="s">
        <v>285</v>
      </c>
    </row>
    <row r="44" customFormat="false" ht="63.75" hidden="false" customHeight="true" outlineLevel="0" collapsed="false">
      <c r="A44" s="37" t="n">
        <v>40</v>
      </c>
      <c r="B44" s="38" t="n">
        <v>46601</v>
      </c>
      <c r="C44" s="37" t="s">
        <v>286</v>
      </c>
      <c r="D44" s="37" t="s">
        <v>272</v>
      </c>
      <c r="E44" s="37" t="s">
        <v>273</v>
      </c>
      <c r="F44" s="37" t="s">
        <v>140</v>
      </c>
      <c r="G44" s="37" t="s">
        <v>204</v>
      </c>
      <c r="H44" s="40" t="s">
        <v>287</v>
      </c>
      <c r="I44" s="37" t="s">
        <v>288</v>
      </c>
      <c r="J44" s="37" t="s">
        <v>234</v>
      </c>
      <c r="K44" s="37" t="s">
        <v>289</v>
      </c>
      <c r="L44" s="40" t="s">
        <v>290</v>
      </c>
      <c r="M44" s="37" t="s">
        <v>291</v>
      </c>
      <c r="N44" s="37" t="s">
        <v>292</v>
      </c>
      <c r="O44" s="37" t="s">
        <v>293</v>
      </c>
      <c r="P44" s="41" t="n">
        <v>3.5</v>
      </c>
      <c r="Q44" s="41" t="n">
        <v>4</v>
      </c>
      <c r="R44" s="37" t="s">
        <v>294</v>
      </c>
    </row>
    <row r="45" customFormat="false" ht="63.75" hidden="false" customHeight="true" outlineLevel="0" collapsed="false">
      <c r="A45" s="37" t="n">
        <v>41</v>
      </c>
      <c r="B45" s="38" t="n">
        <v>46608</v>
      </c>
      <c r="C45" s="37" t="s">
        <v>286</v>
      </c>
      <c r="D45" s="37" t="s">
        <v>272</v>
      </c>
      <c r="E45" s="37" t="s">
        <v>273</v>
      </c>
      <c r="F45" s="39" t="s">
        <v>53</v>
      </c>
      <c r="G45" s="37" t="s">
        <v>274</v>
      </c>
      <c r="H45" s="40" t="s">
        <v>295</v>
      </c>
      <c r="I45" s="37" t="s">
        <v>296</v>
      </c>
      <c r="J45" s="37" t="s">
        <v>234</v>
      </c>
      <c r="K45" s="37" t="s">
        <v>248</v>
      </c>
      <c r="L45" s="40" t="s">
        <v>297</v>
      </c>
      <c r="M45" s="37" t="s">
        <v>255</v>
      </c>
      <c r="N45" s="37" t="s">
        <v>237</v>
      </c>
      <c r="O45" s="37" t="s">
        <v>293</v>
      </c>
      <c r="P45" s="41" t="n">
        <v>3.5</v>
      </c>
      <c r="Q45" s="41" t="n">
        <v>4</v>
      </c>
      <c r="R45" s="37"/>
    </row>
    <row r="46" customFormat="false" ht="63.75" hidden="false" customHeight="true" outlineLevel="0" collapsed="false">
      <c r="A46" s="37" t="n">
        <v>42</v>
      </c>
      <c r="B46" s="38" t="n">
        <v>46615</v>
      </c>
      <c r="C46" s="37" t="s">
        <v>286</v>
      </c>
      <c r="D46" s="37" t="s">
        <v>272</v>
      </c>
      <c r="E46" s="37" t="s">
        <v>273</v>
      </c>
      <c r="F46" s="39" t="s">
        <v>53</v>
      </c>
      <c r="G46" s="37" t="s">
        <v>274</v>
      </c>
      <c r="H46" s="40" t="s">
        <v>298</v>
      </c>
      <c r="I46" s="37" t="s">
        <v>299</v>
      </c>
      <c r="J46" s="37" t="s">
        <v>234</v>
      </c>
      <c r="K46" s="37" t="s">
        <v>248</v>
      </c>
      <c r="L46" s="40" t="s">
        <v>300</v>
      </c>
      <c r="M46" s="37" t="s">
        <v>255</v>
      </c>
      <c r="N46" s="37" t="s">
        <v>237</v>
      </c>
      <c r="O46" s="37" t="s">
        <v>293</v>
      </c>
      <c r="P46" s="41" t="n">
        <v>3.5</v>
      </c>
      <c r="Q46" s="41" t="n">
        <v>4</v>
      </c>
      <c r="R46" s="37"/>
    </row>
    <row r="47" customFormat="false" ht="63.75" hidden="false" customHeight="true" outlineLevel="0" collapsed="false">
      <c r="A47" s="37" t="n">
        <v>43</v>
      </c>
      <c r="B47" s="38" t="n">
        <v>46622</v>
      </c>
      <c r="C47" s="37" t="s">
        <v>286</v>
      </c>
      <c r="D47" s="37" t="s">
        <v>272</v>
      </c>
      <c r="E47" s="37" t="s">
        <v>273</v>
      </c>
      <c r="F47" s="39" t="s">
        <v>90</v>
      </c>
      <c r="G47" s="37" t="s">
        <v>91</v>
      </c>
      <c r="H47" s="40" t="s">
        <v>301</v>
      </c>
      <c r="I47" s="37" t="s">
        <v>302</v>
      </c>
      <c r="J47" s="37" t="s">
        <v>234</v>
      </c>
      <c r="K47" s="37" t="s">
        <v>281</v>
      </c>
      <c r="L47" s="40" t="s">
        <v>303</v>
      </c>
      <c r="M47" s="37" t="s">
        <v>255</v>
      </c>
      <c r="N47" s="37" t="s">
        <v>237</v>
      </c>
      <c r="O47" s="37" t="s">
        <v>293</v>
      </c>
      <c r="P47" s="41" t="n">
        <v>3.5</v>
      </c>
      <c r="Q47" s="41" t="n">
        <v>4</v>
      </c>
      <c r="R47" s="37"/>
    </row>
    <row r="48" customFormat="false" ht="63.75" hidden="false" customHeight="true" outlineLevel="0" collapsed="false">
      <c r="A48" s="37" t="n">
        <v>44</v>
      </c>
      <c r="B48" s="38" t="n">
        <v>46629</v>
      </c>
      <c r="C48" s="37" t="s">
        <v>286</v>
      </c>
      <c r="D48" s="37" t="s">
        <v>272</v>
      </c>
      <c r="E48" s="37" t="s">
        <v>273</v>
      </c>
      <c r="F48" s="42" t="s">
        <v>75</v>
      </c>
      <c r="G48" s="37" t="s">
        <v>76</v>
      </c>
      <c r="H48" s="40" t="s">
        <v>304</v>
      </c>
      <c r="I48" s="37" t="s">
        <v>305</v>
      </c>
      <c r="J48" s="37" t="s">
        <v>234</v>
      </c>
      <c r="K48" s="37" t="s">
        <v>306</v>
      </c>
      <c r="L48" s="40" t="s">
        <v>307</v>
      </c>
      <c r="M48" s="37" t="s">
        <v>255</v>
      </c>
      <c r="N48" s="37" t="s">
        <v>237</v>
      </c>
      <c r="O48" s="37" t="s">
        <v>293</v>
      </c>
      <c r="P48" s="41" t="n">
        <v>3.5</v>
      </c>
      <c r="Q48" s="41" t="n">
        <v>4</v>
      </c>
      <c r="R48" s="37"/>
    </row>
    <row r="49" customFormat="false" ht="63.75" hidden="false" customHeight="true" outlineLevel="0" collapsed="false">
      <c r="A49" s="29" t="n">
        <v>45</v>
      </c>
      <c r="B49" s="30" t="n">
        <v>46636</v>
      </c>
      <c r="C49" s="29" t="s">
        <v>308</v>
      </c>
      <c r="D49" s="29" t="s">
        <v>309</v>
      </c>
      <c r="E49" s="29" t="s">
        <v>310</v>
      </c>
      <c r="F49" s="29" t="s">
        <v>140</v>
      </c>
      <c r="G49" s="29" t="s">
        <v>311</v>
      </c>
      <c r="H49" s="32" t="s">
        <v>312</v>
      </c>
      <c r="I49" s="29" t="s">
        <v>313</v>
      </c>
      <c r="J49" s="29" t="s">
        <v>234</v>
      </c>
      <c r="K49" s="29" t="s">
        <v>248</v>
      </c>
      <c r="L49" s="32" t="s">
        <v>314</v>
      </c>
      <c r="M49" s="29" t="s">
        <v>255</v>
      </c>
      <c r="N49" s="29" t="s">
        <v>237</v>
      </c>
      <c r="O49" s="29" t="s">
        <v>315</v>
      </c>
      <c r="P49" s="33" t="n">
        <v>3</v>
      </c>
      <c r="Q49" s="33" t="n">
        <v>4.5</v>
      </c>
      <c r="R49" s="29"/>
    </row>
    <row r="50" customFormat="false" ht="63.75" hidden="false" customHeight="true" outlineLevel="0" collapsed="false">
      <c r="A50" s="29" t="n">
        <v>46</v>
      </c>
      <c r="B50" s="30" t="n">
        <v>46643</v>
      </c>
      <c r="C50" s="29" t="s">
        <v>308</v>
      </c>
      <c r="D50" s="29" t="s">
        <v>309</v>
      </c>
      <c r="E50" s="29" t="s">
        <v>310</v>
      </c>
      <c r="F50" s="29" t="s">
        <v>140</v>
      </c>
      <c r="G50" s="29" t="s">
        <v>316</v>
      </c>
      <c r="H50" s="32" t="s">
        <v>317</v>
      </c>
      <c r="I50" s="29" t="s">
        <v>318</v>
      </c>
      <c r="J50" s="29" t="s">
        <v>234</v>
      </c>
      <c r="K50" s="29" t="s">
        <v>248</v>
      </c>
      <c r="L50" s="32" t="s">
        <v>319</v>
      </c>
      <c r="M50" s="29" t="s">
        <v>255</v>
      </c>
      <c r="N50" s="29" t="s">
        <v>237</v>
      </c>
      <c r="O50" s="29" t="s">
        <v>315</v>
      </c>
      <c r="P50" s="33" t="n">
        <v>3</v>
      </c>
      <c r="Q50" s="33" t="n">
        <v>4.5</v>
      </c>
      <c r="R50" s="29"/>
    </row>
    <row r="51" customFormat="false" ht="63.75" hidden="false" customHeight="true" outlineLevel="0" collapsed="false">
      <c r="A51" s="29" t="n">
        <v>47</v>
      </c>
      <c r="B51" s="30" t="n">
        <v>46650</v>
      </c>
      <c r="C51" s="29" t="s">
        <v>308</v>
      </c>
      <c r="D51" s="29" t="s">
        <v>309</v>
      </c>
      <c r="E51" s="29" t="s">
        <v>310</v>
      </c>
      <c r="F51" s="34" t="s">
        <v>169</v>
      </c>
      <c r="G51" s="29" t="s">
        <v>170</v>
      </c>
      <c r="H51" s="32" t="s">
        <v>320</v>
      </c>
      <c r="I51" s="29" t="s">
        <v>172</v>
      </c>
      <c r="J51" s="29" t="s">
        <v>234</v>
      </c>
      <c r="K51" s="29" t="s">
        <v>306</v>
      </c>
      <c r="L51" s="32" t="s">
        <v>321</v>
      </c>
      <c r="M51" s="29" t="s">
        <v>255</v>
      </c>
      <c r="N51" s="29" t="s">
        <v>237</v>
      </c>
      <c r="O51" s="29" t="s">
        <v>315</v>
      </c>
      <c r="P51" s="33" t="n">
        <v>3</v>
      </c>
      <c r="Q51" s="33" t="n">
        <v>4.5</v>
      </c>
      <c r="R51" s="29"/>
    </row>
    <row r="52" customFormat="false" ht="63.75" hidden="false" customHeight="true" outlineLevel="0" collapsed="false">
      <c r="A52" s="29" t="n">
        <v>48</v>
      </c>
      <c r="B52" s="30" t="n">
        <v>46657</v>
      </c>
      <c r="C52" s="29" t="s">
        <v>308</v>
      </c>
      <c r="D52" s="29" t="s">
        <v>309</v>
      </c>
      <c r="E52" s="29" t="s">
        <v>310</v>
      </c>
      <c r="F52" s="31" t="s">
        <v>90</v>
      </c>
      <c r="G52" s="29" t="s">
        <v>191</v>
      </c>
      <c r="H52" s="32" t="s">
        <v>92</v>
      </c>
      <c r="I52" s="29" t="s">
        <v>322</v>
      </c>
      <c r="J52" s="29" t="s">
        <v>234</v>
      </c>
      <c r="K52" s="29" t="s">
        <v>306</v>
      </c>
      <c r="L52" s="32" t="s">
        <v>323</v>
      </c>
      <c r="M52" s="29" t="s">
        <v>255</v>
      </c>
      <c r="N52" s="29" t="s">
        <v>237</v>
      </c>
      <c r="O52" s="29" t="s">
        <v>315</v>
      </c>
      <c r="P52" s="33" t="n">
        <v>3</v>
      </c>
      <c r="Q52" s="33" t="n">
        <v>4.5</v>
      </c>
      <c r="R52" s="29"/>
    </row>
    <row r="53" customFormat="false" ht="63.75" hidden="false" customHeight="true" outlineLevel="0" collapsed="false">
      <c r="A53" s="29" t="n">
        <v>49</v>
      </c>
      <c r="B53" s="30" t="n">
        <v>46664</v>
      </c>
      <c r="C53" s="29" t="s">
        <v>324</v>
      </c>
      <c r="D53" s="29" t="s">
        <v>309</v>
      </c>
      <c r="E53" s="29" t="s">
        <v>310</v>
      </c>
      <c r="F53" s="36" t="s">
        <v>120</v>
      </c>
      <c r="G53" s="29" t="s">
        <v>121</v>
      </c>
      <c r="H53" s="32" t="s">
        <v>325</v>
      </c>
      <c r="I53" s="29" t="s">
        <v>326</v>
      </c>
      <c r="J53" s="29" t="s">
        <v>234</v>
      </c>
      <c r="K53" s="29" t="s">
        <v>327</v>
      </c>
      <c r="L53" s="32" t="s">
        <v>328</v>
      </c>
      <c r="M53" s="29" t="s">
        <v>255</v>
      </c>
      <c r="N53" s="29" t="s">
        <v>237</v>
      </c>
      <c r="O53" s="29" t="s">
        <v>329</v>
      </c>
      <c r="P53" s="33" t="n">
        <v>2</v>
      </c>
      <c r="Q53" s="33" t="n">
        <v>3</v>
      </c>
      <c r="R53" s="29"/>
    </row>
    <row r="54" customFormat="false" ht="63.75" hidden="false" customHeight="true" outlineLevel="0" collapsed="false">
      <c r="A54" s="29" t="n">
        <v>50</v>
      </c>
      <c r="B54" s="30" t="n">
        <v>46671</v>
      </c>
      <c r="C54" s="29" t="s">
        <v>324</v>
      </c>
      <c r="D54" s="29" t="s">
        <v>309</v>
      </c>
      <c r="E54" s="29" t="s">
        <v>310</v>
      </c>
      <c r="F54" s="29" t="s">
        <v>140</v>
      </c>
      <c r="G54" s="29" t="s">
        <v>204</v>
      </c>
      <c r="H54" s="32" t="s">
        <v>330</v>
      </c>
      <c r="I54" s="29" t="s">
        <v>331</v>
      </c>
      <c r="J54" s="29" t="s">
        <v>234</v>
      </c>
      <c r="K54" s="29" t="s">
        <v>248</v>
      </c>
      <c r="L54" s="32" t="s">
        <v>332</v>
      </c>
      <c r="M54" s="29" t="s">
        <v>333</v>
      </c>
      <c r="N54" s="29" t="s">
        <v>334</v>
      </c>
      <c r="O54" s="29" t="s">
        <v>329</v>
      </c>
      <c r="P54" s="33" t="n">
        <v>2</v>
      </c>
      <c r="Q54" s="33" t="n">
        <v>3</v>
      </c>
      <c r="R54" s="29"/>
    </row>
    <row r="55" customFormat="false" ht="63.75" hidden="false" customHeight="true" outlineLevel="0" collapsed="false">
      <c r="A55" s="29" t="n">
        <v>51</v>
      </c>
      <c r="B55" s="30" t="n">
        <v>46678</v>
      </c>
      <c r="C55" s="29" t="s">
        <v>324</v>
      </c>
      <c r="D55" s="29" t="s">
        <v>309</v>
      </c>
      <c r="E55" s="29" t="s">
        <v>310</v>
      </c>
      <c r="F55" s="29" t="s">
        <v>105</v>
      </c>
      <c r="G55" s="29" t="s">
        <v>105</v>
      </c>
      <c r="H55" s="32" t="s">
        <v>105</v>
      </c>
      <c r="I55" s="29" t="s">
        <v>335</v>
      </c>
      <c r="J55" s="29" t="s">
        <v>105</v>
      </c>
      <c r="K55" s="29" t="s">
        <v>105</v>
      </c>
      <c r="L55" s="29" t="s">
        <v>105</v>
      </c>
      <c r="M55" s="29" t="s">
        <v>105</v>
      </c>
      <c r="N55" s="29" t="s">
        <v>107</v>
      </c>
      <c r="O55" s="29" t="s">
        <v>329</v>
      </c>
      <c r="P55" s="33" t="n">
        <v>1</v>
      </c>
      <c r="Q55" s="33" t="n">
        <v>1</v>
      </c>
      <c r="R55" s="29" t="s">
        <v>336</v>
      </c>
    </row>
    <row r="56" customFormat="false" ht="63.75" hidden="false" customHeight="true" outlineLevel="0" collapsed="false">
      <c r="A56" s="43" t="n">
        <v>52</v>
      </c>
      <c r="B56" s="44" t="n">
        <v>46685</v>
      </c>
      <c r="C56" s="43" t="s">
        <v>324</v>
      </c>
      <c r="D56" s="43" t="s">
        <v>337</v>
      </c>
      <c r="E56" s="43" t="s">
        <v>283</v>
      </c>
      <c r="F56" s="43" t="s">
        <v>105</v>
      </c>
      <c r="G56" s="43" t="s">
        <v>105</v>
      </c>
      <c r="H56" s="45" t="s">
        <v>105</v>
      </c>
      <c r="I56" s="43" t="s">
        <v>109</v>
      </c>
      <c r="J56" s="43" t="s">
        <v>105</v>
      </c>
      <c r="K56" s="43" t="s">
        <v>105</v>
      </c>
      <c r="L56" s="43" t="s">
        <v>105</v>
      </c>
      <c r="M56" s="43" t="s">
        <v>105</v>
      </c>
      <c r="N56" s="43" t="s">
        <v>107</v>
      </c>
      <c r="O56" s="43" t="s">
        <v>283</v>
      </c>
      <c r="P56" s="46" t="n">
        <v>0</v>
      </c>
      <c r="Q56" s="46" t="n">
        <v>0</v>
      </c>
      <c r="R56" s="43" t="s">
        <v>338</v>
      </c>
    </row>
    <row r="58" customFormat="false" ht="15" hidden="false" customHeight="false" outlineLevel="0" collapsed="false">
      <c r="A58" s="47" t="s">
        <v>339</v>
      </c>
    </row>
  </sheetData>
  <autoFilter ref="A4:R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7" min="5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4" customFormat="false" ht="31.5" hidden="false" customHeight="true" outlineLevel="0" collapsed="false">
      <c r="A4" s="10" t="s">
        <v>342</v>
      </c>
      <c r="B4" s="10" t="s">
        <v>343</v>
      </c>
      <c r="C4" s="10" t="s">
        <v>344</v>
      </c>
      <c r="D4" s="10" t="s">
        <v>345</v>
      </c>
      <c r="E4" s="10" t="s">
        <v>346</v>
      </c>
      <c r="F4" s="10" t="s">
        <v>347</v>
      </c>
      <c r="G4" s="10" t="s">
        <v>348</v>
      </c>
      <c r="H4" s="10" t="s">
        <v>349</v>
      </c>
    </row>
    <row r="5" customFormat="false" ht="30" hidden="false" customHeight="true" outlineLevel="0" collapsed="false">
      <c r="A5" s="48" t="s">
        <v>90</v>
      </c>
      <c r="B5" s="49" t="s">
        <v>350</v>
      </c>
      <c r="C5" s="50" t="s">
        <v>351</v>
      </c>
      <c r="D5" s="50" t="s">
        <v>352</v>
      </c>
      <c r="E5" s="50" t="s">
        <v>50</v>
      </c>
      <c r="F5" s="51" t="n">
        <f aca="false">COUNTIF('Year Plan'!$H$5:$H$56,"*"&amp;C5&amp;"*")</f>
        <v>9</v>
      </c>
      <c r="G5" s="51" t="n">
        <f aca="false">IFERROR(_xlfn.MINIFS('Year Plan'!$A$5:$A$56,'Year Plan'!$H$5:$H$56,"*"&amp;C5&amp;"*"),"")</f>
        <v>1</v>
      </c>
      <c r="H5" s="52" t="n">
        <f aca="false">IFERROR(INDEX('Year Plan'!$B$5:$B$56,MATCH(G5,'Year Plan'!$A$5:$A$56,0)),"")</f>
        <v>46328</v>
      </c>
    </row>
    <row r="6" customFormat="false" ht="30" hidden="false" customHeight="true" outlineLevel="0" collapsed="false">
      <c r="A6" s="48" t="s">
        <v>90</v>
      </c>
      <c r="B6" s="49" t="s">
        <v>353</v>
      </c>
      <c r="C6" s="50" t="s">
        <v>354</v>
      </c>
      <c r="D6" s="50" t="s">
        <v>355</v>
      </c>
      <c r="E6" s="50" t="s">
        <v>50</v>
      </c>
      <c r="F6" s="51" t="n">
        <f aca="false">COUNTIF('Year Plan'!$H$5:$H$56,"*"&amp;C6&amp;"*")</f>
        <v>5</v>
      </c>
      <c r="G6" s="51" t="n">
        <f aca="false">IFERROR(_xlfn.MINIFS('Year Plan'!$A$5:$A$56,'Year Plan'!$H$5:$H$56,"*"&amp;C6&amp;"*"),"")</f>
        <v>2</v>
      </c>
      <c r="H6" s="52" t="n">
        <f aca="false">IFERROR(INDEX('Year Plan'!$B$5:$B$56,MATCH(G6,'Year Plan'!$A$5:$A$56,0)),"")</f>
        <v>46335</v>
      </c>
    </row>
    <row r="7" customFormat="false" ht="30" hidden="false" customHeight="true" outlineLevel="0" collapsed="false">
      <c r="A7" s="48" t="s">
        <v>90</v>
      </c>
      <c r="B7" s="49" t="s">
        <v>356</v>
      </c>
      <c r="C7" s="50" t="s">
        <v>357</v>
      </c>
      <c r="D7" s="50" t="s">
        <v>358</v>
      </c>
      <c r="E7" s="50" t="s">
        <v>50</v>
      </c>
      <c r="F7" s="51" t="n">
        <f aca="false">COUNTIF('Year Plan'!$H$5:$H$56,"*"&amp;C7&amp;"*")</f>
        <v>4</v>
      </c>
      <c r="G7" s="51" t="n">
        <f aca="false">IFERROR(_xlfn.MINIFS('Year Plan'!$A$5:$A$56,'Year Plan'!$H$5:$H$56,"*"&amp;C7&amp;"*"),"")</f>
        <v>3</v>
      </c>
      <c r="H7" s="52" t="n">
        <f aca="false">IFERROR(INDEX('Year Plan'!$B$5:$B$56,MATCH(G7,'Year Plan'!$A$5:$A$56,0)),"")</f>
        <v>46342</v>
      </c>
    </row>
    <row r="8" customFormat="false" ht="30" hidden="false" customHeight="true" outlineLevel="0" collapsed="false">
      <c r="A8" s="48" t="s">
        <v>90</v>
      </c>
      <c r="B8" s="49" t="s">
        <v>359</v>
      </c>
      <c r="C8" s="50" t="s">
        <v>360</v>
      </c>
      <c r="D8" s="50" t="s">
        <v>361</v>
      </c>
      <c r="E8" s="50" t="s">
        <v>50</v>
      </c>
      <c r="F8" s="51" t="n">
        <f aca="false">COUNTIF('Year Plan'!$H$5:$H$56,"*"&amp;C8&amp;"*")</f>
        <v>7</v>
      </c>
      <c r="G8" s="51" t="n">
        <f aca="false">IFERROR(_xlfn.MINIFS('Year Plan'!$A$5:$A$56,'Year Plan'!$H$5:$H$56,"*"&amp;C8&amp;"*"),"")</f>
        <v>1</v>
      </c>
      <c r="H8" s="52" t="n">
        <f aca="false">IFERROR(INDEX('Year Plan'!$B$5:$B$56,MATCH(G8,'Year Plan'!$A$5:$A$56,0)),"")</f>
        <v>46328</v>
      </c>
    </row>
    <row r="9" customFormat="false" ht="30" hidden="false" customHeight="true" outlineLevel="0" collapsed="false">
      <c r="A9" s="48" t="s">
        <v>90</v>
      </c>
      <c r="B9" s="49" t="s">
        <v>362</v>
      </c>
      <c r="C9" s="50" t="s">
        <v>363</v>
      </c>
      <c r="D9" s="50" t="s">
        <v>364</v>
      </c>
      <c r="E9" s="50" t="s">
        <v>88</v>
      </c>
      <c r="F9" s="51" t="n">
        <f aca="false">COUNTIF('Year Plan'!$H$5:$H$56,"*"&amp;C9&amp;"*")</f>
        <v>9</v>
      </c>
      <c r="G9" s="51" t="n">
        <f aca="false">IFERROR(_xlfn.MINIFS('Year Plan'!$A$5:$A$56,'Year Plan'!$H$5:$H$56,"*"&amp;C9&amp;"*"),"")</f>
        <v>6</v>
      </c>
      <c r="H9" s="52" t="n">
        <f aca="false">IFERROR(INDEX('Year Plan'!$B$5:$B$56,MATCH(G9,'Year Plan'!$A$5:$A$56,0)),"")</f>
        <v>46363</v>
      </c>
    </row>
    <row r="10" customFormat="false" ht="30" hidden="false" customHeight="true" outlineLevel="0" collapsed="false">
      <c r="A10" s="48" t="s">
        <v>90</v>
      </c>
      <c r="B10" s="49" t="s">
        <v>365</v>
      </c>
      <c r="C10" s="50" t="s">
        <v>366</v>
      </c>
      <c r="D10" s="50" t="s">
        <v>367</v>
      </c>
      <c r="E10" s="50" t="s">
        <v>50</v>
      </c>
      <c r="F10" s="51" t="n">
        <f aca="false">COUNTIF('Year Plan'!$H$5:$H$56,"*"&amp;C10&amp;"*")</f>
        <v>6</v>
      </c>
      <c r="G10" s="51" t="n">
        <f aca="false">IFERROR(_xlfn.MINIFS('Year Plan'!$A$5:$A$56,'Year Plan'!$H$5:$H$56,"*"&amp;C10&amp;"*"),"")</f>
        <v>1</v>
      </c>
      <c r="H10" s="52" t="n">
        <f aca="false">IFERROR(INDEX('Year Plan'!$B$5:$B$56,MATCH(G10,'Year Plan'!$A$5:$A$56,0)),"")</f>
        <v>46328</v>
      </c>
    </row>
    <row r="11" customFormat="false" ht="30" hidden="false" customHeight="true" outlineLevel="0" collapsed="false">
      <c r="A11" s="48" t="s">
        <v>90</v>
      </c>
      <c r="B11" s="49" t="s">
        <v>368</v>
      </c>
      <c r="C11" s="50" t="s">
        <v>369</v>
      </c>
      <c r="D11" s="50" t="s">
        <v>370</v>
      </c>
      <c r="E11" s="50" t="s">
        <v>88</v>
      </c>
      <c r="F11" s="51" t="n">
        <f aca="false">COUNTIF('Year Plan'!$H$5:$H$56,"*"&amp;C11&amp;"*")</f>
        <v>8</v>
      </c>
      <c r="G11" s="51" t="n">
        <f aca="false">IFERROR(_xlfn.MINIFS('Year Plan'!$A$5:$A$56,'Year Plan'!$H$5:$H$56,"*"&amp;C11&amp;"*"),"")</f>
        <v>6</v>
      </c>
      <c r="H11" s="52" t="n">
        <f aca="false">IFERROR(INDEX('Year Plan'!$B$5:$B$56,MATCH(G11,'Year Plan'!$A$5:$A$56,0)),"")</f>
        <v>46363</v>
      </c>
    </row>
    <row r="12" customFormat="false" ht="30" hidden="false" customHeight="true" outlineLevel="0" collapsed="false">
      <c r="A12" s="48" t="s">
        <v>90</v>
      </c>
      <c r="B12" s="49" t="s">
        <v>371</v>
      </c>
      <c r="C12" s="50" t="s">
        <v>372</v>
      </c>
      <c r="D12" s="50" t="s">
        <v>373</v>
      </c>
      <c r="E12" s="50" t="s">
        <v>88</v>
      </c>
      <c r="F12" s="51" t="n">
        <f aca="false">COUNTIF('Year Plan'!$H$5:$H$56,"*"&amp;C12&amp;"*")</f>
        <v>5</v>
      </c>
      <c r="G12" s="51" t="n">
        <f aca="false">IFERROR(_xlfn.MINIFS('Year Plan'!$A$5:$A$56,'Year Plan'!$H$5:$H$56,"*"&amp;C12&amp;"*"),"")</f>
        <v>7</v>
      </c>
      <c r="H12" s="52" t="n">
        <f aca="false">IFERROR(INDEX('Year Plan'!$B$5:$B$56,MATCH(G12,'Year Plan'!$A$5:$A$56,0)),"")</f>
        <v>46370</v>
      </c>
    </row>
    <row r="13" customFormat="false" ht="30" hidden="false" customHeight="true" outlineLevel="0" collapsed="false">
      <c r="A13" s="53" t="s">
        <v>169</v>
      </c>
      <c r="B13" s="49" t="s">
        <v>374</v>
      </c>
      <c r="C13" s="50" t="s">
        <v>375</v>
      </c>
      <c r="D13" s="50" t="s">
        <v>376</v>
      </c>
      <c r="E13" s="50" t="s">
        <v>166</v>
      </c>
      <c r="F13" s="51" t="n">
        <f aca="false">COUNTIF('Year Plan'!$H$5:$H$56,"*"&amp;C13&amp;"*")</f>
        <v>6</v>
      </c>
      <c r="G13" s="51" t="n">
        <f aca="false">IFERROR(_xlfn.MINIFS('Year Plan'!$A$5:$A$56,'Year Plan'!$H$5:$H$56,"*"&amp;C13&amp;"*"),"")</f>
        <v>15</v>
      </c>
      <c r="H13" s="52" t="n">
        <f aca="false">IFERROR(INDEX('Year Plan'!$B$5:$B$56,MATCH(G13,'Year Plan'!$A$5:$A$56,0)),"")</f>
        <v>46426</v>
      </c>
    </row>
    <row r="14" customFormat="false" ht="30" hidden="false" customHeight="true" outlineLevel="0" collapsed="false">
      <c r="A14" s="53" t="s">
        <v>169</v>
      </c>
      <c r="B14" s="49" t="s">
        <v>377</v>
      </c>
      <c r="C14" s="50" t="s">
        <v>378</v>
      </c>
      <c r="D14" s="50" t="s">
        <v>379</v>
      </c>
      <c r="E14" s="50" t="s">
        <v>166</v>
      </c>
      <c r="F14" s="51" t="n">
        <f aca="false">COUNTIF('Year Plan'!$H$5:$H$56,"*"&amp;C14&amp;"*")</f>
        <v>4</v>
      </c>
      <c r="G14" s="51" t="n">
        <f aca="false">IFERROR(_xlfn.MINIFS('Year Plan'!$A$5:$A$56,'Year Plan'!$H$5:$H$56,"*"&amp;C14&amp;"*"),"")</f>
        <v>15</v>
      </c>
      <c r="H14" s="52" t="n">
        <f aca="false">IFERROR(INDEX('Year Plan'!$B$5:$B$56,MATCH(G14,'Year Plan'!$A$5:$A$56,0)),"")</f>
        <v>46426</v>
      </c>
    </row>
    <row r="15" customFormat="false" ht="30" hidden="false" customHeight="true" outlineLevel="0" collapsed="false">
      <c r="A15" s="53" t="s">
        <v>169</v>
      </c>
      <c r="B15" s="49" t="s">
        <v>365</v>
      </c>
      <c r="C15" s="50" t="s">
        <v>380</v>
      </c>
      <c r="D15" s="50" t="s">
        <v>381</v>
      </c>
      <c r="E15" s="50" t="s">
        <v>166</v>
      </c>
      <c r="F15" s="51" t="n">
        <f aca="false">COUNTIF('Year Plan'!$H$5:$H$56,"*"&amp;C15&amp;"*")</f>
        <v>4</v>
      </c>
      <c r="G15" s="51" t="n">
        <f aca="false">IFERROR(_xlfn.MINIFS('Year Plan'!$A$5:$A$56,'Year Plan'!$H$5:$H$56,"*"&amp;C15&amp;"*"),"")</f>
        <v>18</v>
      </c>
      <c r="H15" s="52" t="n">
        <f aca="false">IFERROR(INDEX('Year Plan'!$B$5:$B$56,MATCH(G15,'Year Plan'!$A$5:$A$56,0)),"")</f>
        <v>46447</v>
      </c>
    </row>
    <row r="16" customFormat="false" ht="30" hidden="false" customHeight="true" outlineLevel="0" collapsed="false">
      <c r="A16" s="53" t="s">
        <v>169</v>
      </c>
      <c r="B16" s="49" t="s">
        <v>382</v>
      </c>
      <c r="C16" s="50" t="s">
        <v>383</v>
      </c>
      <c r="D16" s="50" t="s">
        <v>384</v>
      </c>
      <c r="E16" s="50" t="s">
        <v>166</v>
      </c>
      <c r="F16" s="51" t="n">
        <f aca="false">COUNTIF('Year Plan'!$H$5:$H$56,"*"&amp;C16&amp;"*")</f>
        <v>4</v>
      </c>
      <c r="G16" s="51" t="n">
        <f aca="false">IFERROR(_xlfn.MINIFS('Year Plan'!$A$5:$A$56,'Year Plan'!$H$5:$H$56,"*"&amp;C16&amp;"*"),"")</f>
        <v>19</v>
      </c>
      <c r="H16" s="52" t="n">
        <f aca="false">IFERROR(INDEX('Year Plan'!$B$5:$B$56,MATCH(G16,'Year Plan'!$A$5:$A$56,0)),"")</f>
        <v>46454</v>
      </c>
    </row>
    <row r="17" customFormat="false" ht="30" hidden="false" customHeight="true" outlineLevel="0" collapsed="false">
      <c r="A17" s="53" t="s">
        <v>169</v>
      </c>
      <c r="B17" s="49" t="s">
        <v>385</v>
      </c>
      <c r="C17" s="50" t="s">
        <v>386</v>
      </c>
      <c r="D17" s="50" t="s">
        <v>387</v>
      </c>
      <c r="E17" s="50" t="s">
        <v>166</v>
      </c>
      <c r="F17" s="51" t="n">
        <f aca="false">COUNTIF('Year Plan'!$H$5:$H$56,"*"&amp;C17&amp;"*")</f>
        <v>5</v>
      </c>
      <c r="G17" s="51" t="n">
        <f aca="false">IFERROR(_xlfn.MINIFS('Year Plan'!$A$5:$A$56,'Year Plan'!$H$5:$H$56,"*"&amp;C17&amp;"*"),"")</f>
        <v>19</v>
      </c>
      <c r="H17" s="52" t="n">
        <f aca="false">IFERROR(INDEX('Year Plan'!$B$5:$B$56,MATCH(G17,'Year Plan'!$A$5:$A$56,0)),"")</f>
        <v>46454</v>
      </c>
    </row>
    <row r="18" customFormat="false" ht="30" hidden="false" customHeight="true" outlineLevel="0" collapsed="false">
      <c r="A18" s="54" t="s">
        <v>75</v>
      </c>
      <c r="B18" s="49" t="s">
        <v>388</v>
      </c>
      <c r="C18" s="50" t="s">
        <v>77</v>
      </c>
      <c r="D18" s="50" t="s">
        <v>389</v>
      </c>
      <c r="E18" s="50" t="s">
        <v>50</v>
      </c>
      <c r="F18" s="51" t="n">
        <f aca="false">COUNTIF('Year Plan'!$H$5:$H$56,"*"&amp;C18&amp;"*")</f>
        <v>6</v>
      </c>
      <c r="G18" s="51" t="n">
        <f aca="false">IFERROR(_xlfn.MINIFS('Year Plan'!$A$5:$A$56,'Year Plan'!$H$5:$H$56,"*"&amp;C18&amp;"*"),"")</f>
        <v>4</v>
      </c>
      <c r="H18" s="52" t="n">
        <f aca="false">IFERROR(INDEX('Year Plan'!$B$5:$B$56,MATCH(G18,'Year Plan'!$A$5:$A$56,0)),"")</f>
        <v>46349</v>
      </c>
    </row>
    <row r="19" customFormat="false" ht="30" hidden="false" customHeight="true" outlineLevel="0" collapsed="false">
      <c r="A19" s="54" t="s">
        <v>75</v>
      </c>
      <c r="B19" s="49" t="s">
        <v>390</v>
      </c>
      <c r="C19" s="50" t="s">
        <v>391</v>
      </c>
      <c r="D19" s="50" t="s">
        <v>392</v>
      </c>
      <c r="E19" s="50" t="s">
        <v>88</v>
      </c>
      <c r="F19" s="51" t="n">
        <f aca="false">COUNTIF('Year Plan'!$H$5:$H$56,"*"&amp;C19&amp;"*")</f>
        <v>4</v>
      </c>
      <c r="G19" s="51" t="n">
        <f aca="false">IFERROR(_xlfn.MINIFS('Year Plan'!$A$5:$A$56,'Year Plan'!$H$5:$H$56,"*"&amp;C19&amp;"*"),"")</f>
        <v>7</v>
      </c>
      <c r="H19" s="52" t="n">
        <f aca="false">IFERROR(INDEX('Year Plan'!$B$5:$B$56,MATCH(G19,'Year Plan'!$A$5:$A$56,0)),"")</f>
        <v>46370</v>
      </c>
    </row>
    <row r="20" customFormat="false" ht="30" hidden="false" customHeight="true" outlineLevel="0" collapsed="false">
      <c r="A20" s="54" t="s">
        <v>75</v>
      </c>
      <c r="B20" s="49" t="s">
        <v>393</v>
      </c>
      <c r="C20" s="50" t="s">
        <v>394</v>
      </c>
      <c r="D20" s="50" t="s">
        <v>395</v>
      </c>
      <c r="E20" s="50" t="s">
        <v>111</v>
      </c>
      <c r="F20" s="51" t="n">
        <f aca="false">COUNTIF('Year Plan'!$H$5:$H$56,"*"&amp;C20&amp;"*")</f>
        <v>5</v>
      </c>
      <c r="G20" s="51" t="n">
        <f aca="false">IFERROR(_xlfn.MINIFS('Year Plan'!$A$5:$A$56,'Year Plan'!$H$5:$H$56,"*"&amp;C20&amp;"*"),"")</f>
        <v>10</v>
      </c>
      <c r="H20" s="52" t="n">
        <f aca="false">IFERROR(INDEX('Year Plan'!$B$5:$B$56,MATCH(G20,'Year Plan'!$A$5:$A$56,0)),"")</f>
        <v>46391</v>
      </c>
    </row>
    <row r="21" customFormat="false" ht="30" hidden="false" customHeight="true" outlineLevel="0" collapsed="false">
      <c r="A21" s="54" t="s">
        <v>75</v>
      </c>
      <c r="B21" s="49" t="s">
        <v>396</v>
      </c>
      <c r="C21" s="50" t="s">
        <v>397</v>
      </c>
      <c r="D21" s="50" t="s">
        <v>398</v>
      </c>
      <c r="E21" s="50" t="s">
        <v>111</v>
      </c>
      <c r="F21" s="51" t="n">
        <f aca="false">COUNTIF('Year Plan'!$H$5:$H$56,"*"&amp;C21&amp;"*")</f>
        <v>3</v>
      </c>
      <c r="G21" s="51" t="n">
        <f aca="false">IFERROR(_xlfn.MINIFS('Year Plan'!$A$5:$A$56,'Year Plan'!$H$5:$H$56,"*"&amp;C21&amp;"*"),"")</f>
        <v>13</v>
      </c>
      <c r="H21" s="52" t="n">
        <f aca="false">IFERROR(INDEX('Year Plan'!$B$5:$B$56,MATCH(G21,'Year Plan'!$A$5:$A$56,0)),"")</f>
        <v>46412</v>
      </c>
    </row>
    <row r="22" customFormat="false" ht="30" hidden="false" customHeight="true" outlineLevel="0" collapsed="false">
      <c r="A22" s="54" t="s">
        <v>75</v>
      </c>
      <c r="B22" s="49" t="s">
        <v>399</v>
      </c>
      <c r="C22" s="50" t="s">
        <v>400</v>
      </c>
      <c r="D22" s="50" t="s">
        <v>401</v>
      </c>
      <c r="E22" s="50" t="s">
        <v>111</v>
      </c>
      <c r="F22" s="51" t="n">
        <f aca="false">COUNTIF('Year Plan'!$H$5:$H$56,"*"&amp;C22&amp;"*")</f>
        <v>4</v>
      </c>
      <c r="G22" s="51" t="n">
        <f aca="false">IFERROR(_xlfn.MINIFS('Year Plan'!$A$5:$A$56,'Year Plan'!$H$5:$H$56,"*"&amp;C22&amp;"*"),"")</f>
        <v>10</v>
      </c>
      <c r="H22" s="52" t="n">
        <f aca="false">IFERROR(INDEX('Year Plan'!$B$5:$B$56,MATCH(G22,'Year Plan'!$A$5:$A$56,0)),"")</f>
        <v>46391</v>
      </c>
    </row>
    <row r="23" customFormat="false" ht="30" hidden="false" customHeight="true" outlineLevel="0" collapsed="false">
      <c r="A23" s="54" t="s">
        <v>75</v>
      </c>
      <c r="B23" s="49" t="s">
        <v>402</v>
      </c>
      <c r="C23" s="50" t="s">
        <v>403</v>
      </c>
      <c r="D23" s="50" t="s">
        <v>404</v>
      </c>
      <c r="E23" s="50" t="s">
        <v>111</v>
      </c>
      <c r="F23" s="51" t="n">
        <f aca="false">COUNTIF('Year Plan'!$H$5:$H$56,"*"&amp;C23&amp;"*")</f>
        <v>5</v>
      </c>
      <c r="G23" s="51" t="n">
        <f aca="false">IFERROR(_xlfn.MINIFS('Year Plan'!$A$5:$A$56,'Year Plan'!$H$5:$H$56,"*"&amp;C23&amp;"*"),"")</f>
        <v>10</v>
      </c>
      <c r="H23" s="52" t="n">
        <f aca="false">IFERROR(INDEX('Year Plan'!$B$5:$B$56,MATCH(G23,'Year Plan'!$A$5:$A$56,0)),"")</f>
        <v>46391</v>
      </c>
    </row>
    <row r="24" customFormat="false" ht="30" hidden="false" customHeight="true" outlineLevel="0" collapsed="false">
      <c r="A24" s="55" t="s">
        <v>120</v>
      </c>
      <c r="B24" s="49" t="s">
        <v>405</v>
      </c>
      <c r="C24" s="50" t="s">
        <v>406</v>
      </c>
      <c r="D24" s="50" t="s">
        <v>407</v>
      </c>
      <c r="E24" s="50" t="s">
        <v>111</v>
      </c>
      <c r="F24" s="51" t="n">
        <f aca="false">COUNTIF('Year Plan'!$H$5:$H$56,"*"&amp;C24&amp;"*")</f>
        <v>6</v>
      </c>
      <c r="G24" s="51" t="n">
        <f aca="false">IFERROR(_xlfn.MINIFS('Year Plan'!$A$5:$A$56,'Year Plan'!$H$5:$H$56,"*"&amp;C24&amp;"*"),"")</f>
        <v>11</v>
      </c>
      <c r="H24" s="52" t="n">
        <f aca="false">IFERROR(INDEX('Year Plan'!$B$5:$B$56,MATCH(G24,'Year Plan'!$A$5:$A$56,0)),"")</f>
        <v>46398</v>
      </c>
    </row>
    <row r="25" customFormat="false" ht="30" hidden="false" customHeight="true" outlineLevel="0" collapsed="false">
      <c r="A25" s="55" t="s">
        <v>120</v>
      </c>
      <c r="B25" s="49" t="s">
        <v>408</v>
      </c>
      <c r="C25" s="50" t="s">
        <v>409</v>
      </c>
      <c r="D25" s="50" t="s">
        <v>410</v>
      </c>
      <c r="E25" s="50" t="s">
        <v>111</v>
      </c>
      <c r="F25" s="51" t="n">
        <f aca="false">COUNTIF('Year Plan'!$H$5:$H$56,"*"&amp;C25&amp;"*")</f>
        <v>3</v>
      </c>
      <c r="G25" s="51" t="n">
        <f aca="false">IFERROR(_xlfn.MINIFS('Year Plan'!$A$5:$A$56,'Year Plan'!$H$5:$H$56,"*"&amp;C25&amp;"*"),"")</f>
        <v>11</v>
      </c>
      <c r="H25" s="52" t="n">
        <f aca="false">IFERROR(INDEX('Year Plan'!$B$5:$B$56,MATCH(G25,'Year Plan'!$A$5:$A$56,0)),"")</f>
        <v>46398</v>
      </c>
    </row>
    <row r="26" customFormat="false" ht="30" hidden="false" customHeight="true" outlineLevel="0" collapsed="false">
      <c r="A26" s="55" t="s">
        <v>120</v>
      </c>
      <c r="B26" s="49" t="s">
        <v>411</v>
      </c>
      <c r="C26" s="50" t="s">
        <v>412</v>
      </c>
      <c r="D26" s="50" t="s">
        <v>413</v>
      </c>
      <c r="E26" s="50" t="s">
        <v>111</v>
      </c>
      <c r="F26" s="51" t="n">
        <f aca="false">COUNTIF('Year Plan'!$H$5:$H$56,"*"&amp;C26&amp;"*")</f>
        <v>4</v>
      </c>
      <c r="G26" s="51" t="n">
        <f aca="false">IFERROR(_xlfn.MINIFS('Year Plan'!$A$5:$A$56,'Year Plan'!$H$5:$H$56,"*"&amp;C26&amp;"*"),"")</f>
        <v>11</v>
      </c>
      <c r="H26" s="52" t="n">
        <f aca="false">IFERROR(INDEX('Year Plan'!$B$5:$B$56,MATCH(G26,'Year Plan'!$A$5:$A$56,0)),"")</f>
        <v>46398</v>
      </c>
    </row>
    <row r="27" customFormat="false" ht="30" hidden="false" customHeight="true" outlineLevel="0" collapsed="false">
      <c r="A27" s="55" t="s">
        <v>120</v>
      </c>
      <c r="B27" s="49" t="s">
        <v>414</v>
      </c>
      <c r="C27" s="50" t="s">
        <v>415</v>
      </c>
      <c r="D27" s="50" t="s">
        <v>416</v>
      </c>
      <c r="E27" s="50" t="s">
        <v>111</v>
      </c>
      <c r="F27" s="51" t="n">
        <f aca="false">COUNTIF('Year Plan'!$H$5:$H$56,"*"&amp;C27&amp;"*")</f>
        <v>4</v>
      </c>
      <c r="G27" s="51" t="n">
        <f aca="false">IFERROR(_xlfn.MINIFS('Year Plan'!$A$5:$A$56,'Year Plan'!$H$5:$H$56,"*"&amp;C27&amp;"*"),"")</f>
        <v>13</v>
      </c>
      <c r="H27" s="52" t="n">
        <f aca="false">IFERROR(INDEX('Year Plan'!$B$5:$B$56,MATCH(G27,'Year Plan'!$A$5:$A$56,0)),"")</f>
        <v>46412</v>
      </c>
    </row>
    <row r="29" customFormat="false" ht="15" hidden="false" customHeight="false" outlineLevel="0" collapsed="false">
      <c r="B29" s="5" t="s">
        <v>417</v>
      </c>
      <c r="F29" s="5" t="n">
        <f aca="false">COUNTIF(F5:F27,0)</f>
        <v>0</v>
      </c>
    </row>
    <row r="30" customFormat="false" ht="15" hidden="false" customHeight="false" outlineLevel="0" collapsed="false">
      <c r="A30" s="47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30"/>
    <col collapsed="false" customWidth="true" hidden="false" outlineLevel="0" max="11" min="10" style="0" width="42"/>
    <col collapsed="false" customWidth="true" hidden="false" outlineLevel="0" max="13" min="12" style="0" width="30"/>
  </cols>
  <sheetData>
    <row r="1" customFormat="false" ht="19.7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31.5" hidden="false" customHeight="true" outlineLevel="0" collapsed="false">
      <c r="A4" s="10" t="s">
        <v>33</v>
      </c>
      <c r="B4" s="10" t="s">
        <v>421</v>
      </c>
      <c r="C4" s="10" t="s">
        <v>37</v>
      </c>
      <c r="D4" s="10" t="s">
        <v>422</v>
      </c>
      <c r="E4" s="10" t="s">
        <v>423</v>
      </c>
      <c r="F4" s="10" t="s">
        <v>424</v>
      </c>
      <c r="G4" s="10" t="s">
        <v>425</v>
      </c>
      <c r="H4" s="10" t="s">
        <v>426</v>
      </c>
      <c r="I4" s="10" t="s">
        <v>427</v>
      </c>
      <c r="J4" s="10" t="s">
        <v>428</v>
      </c>
      <c r="K4" s="10" t="s">
        <v>429</v>
      </c>
      <c r="L4" s="10" t="s">
        <v>430</v>
      </c>
      <c r="M4" s="10" t="s">
        <v>431</v>
      </c>
    </row>
    <row r="5" customFormat="false" ht="91.5" hidden="false" customHeight="true" outlineLevel="0" collapsed="false">
      <c r="A5" s="11" t="n">
        <v>1</v>
      </c>
      <c r="B5" s="12" t="n">
        <v>46328</v>
      </c>
      <c r="C5" s="11" t="s">
        <v>52</v>
      </c>
      <c r="D5" s="14" t="s">
        <v>432</v>
      </c>
      <c r="E5" s="11" t="s">
        <v>55</v>
      </c>
      <c r="F5" s="11" t="s">
        <v>56</v>
      </c>
      <c r="G5" s="11" t="s">
        <v>433</v>
      </c>
      <c r="H5" s="11" t="s">
        <v>434</v>
      </c>
      <c r="I5" s="11" t="s">
        <v>435</v>
      </c>
      <c r="J5" s="11" t="s">
        <v>436</v>
      </c>
      <c r="K5" s="11" t="s">
        <v>437</v>
      </c>
      <c r="L5" s="11" t="s">
        <v>438</v>
      </c>
      <c r="M5" s="11" t="s">
        <v>439</v>
      </c>
    </row>
    <row r="6" customFormat="false" ht="91.5" hidden="false" customHeight="true" outlineLevel="0" collapsed="false">
      <c r="A6" s="11" t="n">
        <v>2</v>
      </c>
      <c r="B6" s="12" t="n">
        <v>46335</v>
      </c>
      <c r="C6" s="11" t="s">
        <v>52</v>
      </c>
      <c r="D6" s="14" t="s">
        <v>440</v>
      </c>
      <c r="E6" s="11" t="s">
        <v>64</v>
      </c>
      <c r="F6" s="11" t="s">
        <v>65</v>
      </c>
      <c r="G6" s="11" t="s">
        <v>441</v>
      </c>
      <c r="H6" s="11" t="s">
        <v>442</v>
      </c>
      <c r="I6" s="11" t="s">
        <v>443</v>
      </c>
      <c r="J6" s="11" t="s">
        <v>444</v>
      </c>
      <c r="K6" s="11" t="s">
        <v>445</v>
      </c>
      <c r="L6" s="11" t="s">
        <v>446</v>
      </c>
      <c r="M6" s="11" t="s">
        <v>447</v>
      </c>
    </row>
    <row r="7" customFormat="false" ht="91.5" hidden="false" customHeight="true" outlineLevel="0" collapsed="false">
      <c r="A7" s="11" t="n">
        <v>3</v>
      </c>
      <c r="B7" s="12" t="n">
        <v>46342</v>
      </c>
      <c r="C7" s="11" t="s">
        <v>52</v>
      </c>
      <c r="D7" s="14" t="s">
        <v>448</v>
      </c>
      <c r="E7" s="11" t="s">
        <v>70</v>
      </c>
      <c r="F7" s="11" t="s">
        <v>71</v>
      </c>
      <c r="G7" s="11" t="s">
        <v>449</v>
      </c>
      <c r="H7" s="11" t="s">
        <v>450</v>
      </c>
      <c r="I7" s="11" t="s">
        <v>451</v>
      </c>
      <c r="J7" s="11" t="s">
        <v>452</v>
      </c>
      <c r="K7" s="11" t="s">
        <v>453</v>
      </c>
      <c r="L7" s="11" t="s">
        <v>454</v>
      </c>
      <c r="M7" s="11" t="s">
        <v>455</v>
      </c>
    </row>
    <row r="8" customFormat="false" ht="91.5" hidden="false" customHeight="true" outlineLevel="0" collapsed="false">
      <c r="A8" s="11" t="n">
        <v>4</v>
      </c>
      <c r="B8" s="12" t="n">
        <v>46349</v>
      </c>
      <c r="C8" s="11" t="s">
        <v>52</v>
      </c>
      <c r="D8" s="14" t="s">
        <v>456</v>
      </c>
      <c r="E8" s="11" t="s">
        <v>77</v>
      </c>
      <c r="F8" s="11" t="s">
        <v>78</v>
      </c>
      <c r="G8" s="11" t="s">
        <v>457</v>
      </c>
      <c r="H8" s="11" t="s">
        <v>458</v>
      </c>
      <c r="I8" s="11" t="s">
        <v>459</v>
      </c>
      <c r="J8" s="11" t="s">
        <v>460</v>
      </c>
      <c r="K8" s="11" t="s">
        <v>461</v>
      </c>
      <c r="L8" s="11" t="s">
        <v>462</v>
      </c>
      <c r="M8" s="11" t="s">
        <v>463</v>
      </c>
    </row>
    <row r="9" customFormat="false" ht="91.5" hidden="false" customHeight="true" outlineLevel="0" collapsed="false">
      <c r="A9" s="11" t="n">
        <v>5</v>
      </c>
      <c r="B9" s="12" t="n">
        <v>46356</v>
      </c>
      <c r="C9" s="11" t="s">
        <v>52</v>
      </c>
      <c r="D9" s="14" t="s">
        <v>464</v>
      </c>
      <c r="E9" s="11" t="s">
        <v>82</v>
      </c>
      <c r="F9" s="11" t="s">
        <v>83</v>
      </c>
      <c r="G9" s="11" t="s">
        <v>465</v>
      </c>
      <c r="H9" s="11" t="s">
        <v>466</v>
      </c>
      <c r="I9" s="11" t="s">
        <v>467</v>
      </c>
      <c r="J9" s="11" t="s">
        <v>468</v>
      </c>
      <c r="K9" s="11" t="s">
        <v>469</v>
      </c>
      <c r="L9" s="11" t="s">
        <v>470</v>
      </c>
      <c r="M9" s="11" t="s">
        <v>471</v>
      </c>
    </row>
    <row r="10" customFormat="false" ht="91.5" hidden="false" customHeight="true" outlineLevel="0" collapsed="false">
      <c r="A10" s="11" t="n">
        <v>6</v>
      </c>
      <c r="B10" s="12" t="n">
        <v>46363</v>
      </c>
      <c r="C10" s="11" t="s">
        <v>89</v>
      </c>
      <c r="D10" s="14" t="s">
        <v>370</v>
      </c>
      <c r="E10" s="11" t="s">
        <v>92</v>
      </c>
      <c r="F10" s="11" t="s">
        <v>93</v>
      </c>
      <c r="G10" s="11" t="s">
        <v>472</v>
      </c>
      <c r="H10" s="11" t="s">
        <v>473</v>
      </c>
      <c r="I10" s="11" t="s">
        <v>474</v>
      </c>
      <c r="J10" s="11" t="s">
        <v>475</v>
      </c>
      <c r="K10" s="11" t="s">
        <v>476</v>
      </c>
      <c r="L10" s="11" t="s">
        <v>477</v>
      </c>
      <c r="M10" s="11" t="s">
        <v>478</v>
      </c>
    </row>
    <row r="11" customFormat="false" ht="91.5" hidden="false" customHeight="true" outlineLevel="0" collapsed="false">
      <c r="A11" s="11" t="n">
        <v>7</v>
      </c>
      <c r="B11" s="12" t="n">
        <v>46370</v>
      </c>
      <c r="C11" s="11" t="s">
        <v>89</v>
      </c>
      <c r="D11" s="14" t="s">
        <v>479</v>
      </c>
      <c r="E11" s="11" t="s">
        <v>98</v>
      </c>
      <c r="F11" s="11" t="s">
        <v>99</v>
      </c>
      <c r="G11" s="11" t="s">
        <v>480</v>
      </c>
      <c r="H11" s="11" t="s">
        <v>481</v>
      </c>
      <c r="I11" s="11" t="s">
        <v>482</v>
      </c>
      <c r="J11" s="11" t="s">
        <v>483</v>
      </c>
      <c r="K11" s="11" t="s">
        <v>484</v>
      </c>
      <c r="L11" s="11" t="s">
        <v>485</v>
      </c>
      <c r="M11" s="11" t="s">
        <v>486</v>
      </c>
    </row>
    <row r="12" customFormat="false" ht="91.5" hidden="false" customHeight="true" outlineLevel="0" collapsed="false">
      <c r="A12" s="11" t="n">
        <v>8</v>
      </c>
      <c r="B12" s="12" t="n">
        <v>46377</v>
      </c>
      <c r="C12" s="11" t="s">
        <v>104</v>
      </c>
      <c r="D12" s="14" t="s">
        <v>487</v>
      </c>
      <c r="E12" s="11" t="s">
        <v>105</v>
      </c>
      <c r="F12" s="11" t="s">
        <v>106</v>
      </c>
      <c r="G12" s="11" t="s">
        <v>105</v>
      </c>
      <c r="H12" s="11" t="s">
        <v>105</v>
      </c>
      <c r="I12" s="11" t="s">
        <v>105</v>
      </c>
      <c r="J12" s="11" t="s">
        <v>488</v>
      </c>
      <c r="K12" s="11" t="s">
        <v>105</v>
      </c>
      <c r="L12" s="11" t="s">
        <v>105</v>
      </c>
      <c r="M12" s="11" t="s">
        <v>105</v>
      </c>
    </row>
    <row r="13" customFormat="false" ht="91.5" hidden="false" customHeight="true" outlineLevel="0" collapsed="false">
      <c r="A13" s="17" t="n">
        <v>10</v>
      </c>
      <c r="B13" s="18" t="n">
        <v>46391</v>
      </c>
      <c r="C13" s="17" t="s">
        <v>113</v>
      </c>
      <c r="D13" s="20" t="s">
        <v>489</v>
      </c>
      <c r="E13" s="17" t="s">
        <v>114</v>
      </c>
      <c r="F13" s="17" t="s">
        <v>115</v>
      </c>
      <c r="G13" s="17" t="s">
        <v>490</v>
      </c>
      <c r="H13" s="17" t="s">
        <v>491</v>
      </c>
      <c r="I13" s="17" t="s">
        <v>492</v>
      </c>
      <c r="J13" s="17" t="s">
        <v>493</v>
      </c>
      <c r="K13" s="17" t="s">
        <v>494</v>
      </c>
      <c r="L13" s="17" t="s">
        <v>495</v>
      </c>
      <c r="M13" s="17" t="s">
        <v>496</v>
      </c>
    </row>
    <row r="14" customFormat="false" ht="91.5" hidden="false" customHeight="true" outlineLevel="0" collapsed="false">
      <c r="A14" s="17" t="n">
        <v>11</v>
      </c>
      <c r="B14" s="18" t="n">
        <v>46398</v>
      </c>
      <c r="C14" s="17" t="s">
        <v>113</v>
      </c>
      <c r="D14" s="20" t="s">
        <v>497</v>
      </c>
      <c r="E14" s="17" t="s">
        <v>122</v>
      </c>
      <c r="F14" s="17" t="s">
        <v>123</v>
      </c>
      <c r="G14" s="17" t="s">
        <v>498</v>
      </c>
      <c r="H14" s="17" t="s">
        <v>499</v>
      </c>
      <c r="I14" s="17" t="s">
        <v>500</v>
      </c>
      <c r="J14" s="17" t="s">
        <v>501</v>
      </c>
      <c r="K14" s="17" t="s">
        <v>502</v>
      </c>
      <c r="L14" s="17" t="s">
        <v>503</v>
      </c>
      <c r="M14" s="17" t="s">
        <v>504</v>
      </c>
    </row>
    <row r="15" customFormat="false" ht="91.5" hidden="false" customHeight="true" outlineLevel="0" collapsed="false">
      <c r="A15" s="17" t="n">
        <v>12</v>
      </c>
      <c r="B15" s="18" t="n">
        <v>46405</v>
      </c>
      <c r="C15" s="17" t="s">
        <v>113</v>
      </c>
      <c r="D15" s="20" t="s">
        <v>390</v>
      </c>
      <c r="E15" s="17" t="s">
        <v>127</v>
      </c>
      <c r="F15" s="17" t="s">
        <v>128</v>
      </c>
      <c r="G15" s="17" t="s">
        <v>505</v>
      </c>
      <c r="H15" s="17" t="s">
        <v>506</v>
      </c>
      <c r="I15" s="17" t="s">
        <v>507</v>
      </c>
      <c r="J15" s="17" t="s">
        <v>508</v>
      </c>
      <c r="K15" s="17" t="s">
        <v>509</v>
      </c>
      <c r="L15" s="17" t="s">
        <v>510</v>
      </c>
      <c r="M15" s="17" t="s">
        <v>511</v>
      </c>
    </row>
    <row r="16" customFormat="false" ht="91.5" hidden="false" customHeight="true" outlineLevel="0" collapsed="false">
      <c r="A16" s="17" t="n">
        <v>13</v>
      </c>
      <c r="B16" s="18" t="n">
        <v>46412</v>
      </c>
      <c r="C16" s="17" t="s">
        <v>113</v>
      </c>
      <c r="D16" s="20" t="s">
        <v>512</v>
      </c>
      <c r="E16" s="17" t="s">
        <v>133</v>
      </c>
      <c r="F16" s="17" t="s">
        <v>134</v>
      </c>
      <c r="G16" s="17" t="s">
        <v>513</v>
      </c>
      <c r="H16" s="17" t="s">
        <v>514</v>
      </c>
      <c r="I16" s="17" t="s">
        <v>515</v>
      </c>
      <c r="J16" s="17" t="s">
        <v>516</v>
      </c>
      <c r="K16" s="17" t="s">
        <v>517</v>
      </c>
      <c r="L16" s="17" t="s">
        <v>518</v>
      </c>
      <c r="M16" s="17" t="s">
        <v>519</v>
      </c>
    </row>
    <row r="17" customFormat="false" ht="91.5" hidden="false" customHeight="true" outlineLevel="0" collapsed="false">
      <c r="A17" s="17" t="n">
        <v>14</v>
      </c>
      <c r="B17" s="18" t="n">
        <v>46419</v>
      </c>
      <c r="C17" s="17" t="s">
        <v>139</v>
      </c>
      <c r="D17" s="20" t="s">
        <v>520</v>
      </c>
      <c r="E17" s="17" t="s">
        <v>142</v>
      </c>
      <c r="F17" s="17" t="s">
        <v>143</v>
      </c>
      <c r="G17" s="17" t="s">
        <v>521</v>
      </c>
      <c r="H17" s="17" t="s">
        <v>522</v>
      </c>
      <c r="I17" s="17" t="s">
        <v>523</v>
      </c>
      <c r="J17" s="17" t="s">
        <v>524</v>
      </c>
      <c r="K17" s="17" t="s">
        <v>525</v>
      </c>
      <c r="L17" s="17" t="s">
        <v>526</v>
      </c>
      <c r="M17" s="17" t="s">
        <v>527</v>
      </c>
    </row>
    <row r="18" customFormat="false" ht="91.5" hidden="false" customHeight="true" outlineLevel="0" collapsed="false">
      <c r="A18" s="17" t="n">
        <v>15</v>
      </c>
      <c r="B18" s="18" t="n">
        <v>46426</v>
      </c>
      <c r="C18" s="17" t="s">
        <v>139</v>
      </c>
      <c r="D18" s="20" t="s">
        <v>528</v>
      </c>
      <c r="E18" s="17" t="s">
        <v>149</v>
      </c>
      <c r="F18" s="17" t="s">
        <v>150</v>
      </c>
      <c r="G18" s="17" t="s">
        <v>529</v>
      </c>
      <c r="H18" s="17" t="s">
        <v>530</v>
      </c>
      <c r="I18" s="17" t="s">
        <v>531</v>
      </c>
      <c r="J18" s="17" t="s">
        <v>532</v>
      </c>
      <c r="K18" s="17" t="s">
        <v>533</v>
      </c>
      <c r="L18" s="17" t="s">
        <v>526</v>
      </c>
      <c r="M18" s="17" t="s">
        <v>534</v>
      </c>
    </row>
    <row r="19" customFormat="false" ht="91.5" hidden="false" customHeight="true" outlineLevel="0" collapsed="false">
      <c r="A19" s="17" t="n">
        <v>16</v>
      </c>
      <c r="B19" s="18" t="n">
        <v>46433</v>
      </c>
      <c r="C19" s="17" t="s">
        <v>139</v>
      </c>
      <c r="D19" s="20" t="s">
        <v>535</v>
      </c>
      <c r="E19" s="17" t="s">
        <v>156</v>
      </c>
      <c r="F19" s="17" t="s">
        <v>157</v>
      </c>
      <c r="G19" s="17" t="s">
        <v>536</v>
      </c>
      <c r="H19" s="17" t="s">
        <v>537</v>
      </c>
      <c r="I19" s="17" t="s">
        <v>538</v>
      </c>
      <c r="J19" s="17" t="s">
        <v>539</v>
      </c>
      <c r="K19" s="17" t="s">
        <v>540</v>
      </c>
      <c r="L19" s="17" t="s">
        <v>526</v>
      </c>
      <c r="M19" s="17" t="s">
        <v>541</v>
      </c>
    </row>
    <row r="20" customFormat="false" ht="91.5" hidden="false" customHeight="true" outlineLevel="0" collapsed="false">
      <c r="A20" s="17" t="n">
        <v>17</v>
      </c>
      <c r="B20" s="18" t="n">
        <v>46440</v>
      </c>
      <c r="C20" s="17" t="s">
        <v>139</v>
      </c>
      <c r="D20" s="20" t="s">
        <v>542</v>
      </c>
      <c r="E20" s="17" t="s">
        <v>161</v>
      </c>
      <c r="F20" s="17" t="s">
        <v>162</v>
      </c>
      <c r="G20" s="17" t="s">
        <v>543</v>
      </c>
      <c r="H20" s="17" t="s">
        <v>544</v>
      </c>
      <c r="I20" s="17" t="s">
        <v>545</v>
      </c>
      <c r="J20" s="17" t="s">
        <v>546</v>
      </c>
      <c r="K20" s="17" t="s">
        <v>547</v>
      </c>
      <c r="L20" s="17" t="s">
        <v>526</v>
      </c>
      <c r="M20" s="17" t="s">
        <v>548</v>
      </c>
    </row>
    <row r="21" customFormat="false" ht="91.5" hidden="false" customHeight="true" outlineLevel="0" collapsed="false">
      <c r="A21" s="23" t="n">
        <v>18</v>
      </c>
      <c r="B21" s="24" t="n">
        <v>46447</v>
      </c>
      <c r="C21" s="23" t="s">
        <v>168</v>
      </c>
      <c r="D21" s="26" t="s">
        <v>549</v>
      </c>
      <c r="E21" s="23" t="s">
        <v>171</v>
      </c>
      <c r="F21" s="23" t="s">
        <v>172</v>
      </c>
      <c r="G21" s="23" t="s">
        <v>550</v>
      </c>
      <c r="H21" s="23" t="s">
        <v>551</v>
      </c>
      <c r="I21" s="23" t="s">
        <v>552</v>
      </c>
      <c r="J21" s="23" t="s">
        <v>553</v>
      </c>
      <c r="K21" s="23" t="s">
        <v>554</v>
      </c>
      <c r="L21" s="23" t="s">
        <v>555</v>
      </c>
      <c r="M21" s="23" t="s">
        <v>556</v>
      </c>
    </row>
    <row r="22" customFormat="false" ht="91.5" hidden="false" customHeight="true" outlineLevel="0" collapsed="false">
      <c r="A22" s="23" t="n">
        <v>19</v>
      </c>
      <c r="B22" s="24" t="n">
        <v>46454</v>
      </c>
      <c r="C22" s="23" t="s">
        <v>168</v>
      </c>
      <c r="D22" s="26" t="s">
        <v>557</v>
      </c>
      <c r="E22" s="23" t="s">
        <v>180</v>
      </c>
      <c r="F22" s="23" t="s">
        <v>181</v>
      </c>
      <c r="G22" s="23" t="s">
        <v>558</v>
      </c>
      <c r="H22" s="23" t="s">
        <v>559</v>
      </c>
      <c r="I22" s="23" t="s">
        <v>560</v>
      </c>
      <c r="J22" s="23" t="s">
        <v>561</v>
      </c>
      <c r="K22" s="23" t="s">
        <v>562</v>
      </c>
      <c r="L22" s="23" t="s">
        <v>555</v>
      </c>
      <c r="M22" s="23" t="s">
        <v>563</v>
      </c>
    </row>
    <row r="23" customFormat="false" ht="91.5" hidden="false" customHeight="true" outlineLevel="0" collapsed="false">
      <c r="A23" s="23" t="n">
        <v>20</v>
      </c>
      <c r="B23" s="24" t="n">
        <v>46461</v>
      </c>
      <c r="C23" s="23" t="s">
        <v>168</v>
      </c>
      <c r="D23" s="26" t="s">
        <v>564</v>
      </c>
      <c r="E23" s="23" t="s">
        <v>186</v>
      </c>
      <c r="F23" s="23" t="s">
        <v>187</v>
      </c>
      <c r="G23" s="23" t="s">
        <v>565</v>
      </c>
      <c r="H23" s="23" t="s">
        <v>566</v>
      </c>
      <c r="I23" s="23" t="s">
        <v>567</v>
      </c>
      <c r="J23" s="23" t="s">
        <v>568</v>
      </c>
      <c r="K23" s="23" t="s">
        <v>569</v>
      </c>
      <c r="L23" s="23" t="s">
        <v>555</v>
      </c>
      <c r="M23" s="23" t="s">
        <v>570</v>
      </c>
    </row>
    <row r="24" customFormat="false" ht="91.5" hidden="false" customHeight="true" outlineLevel="0" collapsed="false">
      <c r="A24" s="23" t="n">
        <v>21</v>
      </c>
      <c r="B24" s="24" t="n">
        <v>46468</v>
      </c>
      <c r="C24" s="23" t="s">
        <v>168</v>
      </c>
      <c r="D24" s="26" t="s">
        <v>571</v>
      </c>
      <c r="E24" s="23" t="s">
        <v>192</v>
      </c>
      <c r="F24" s="23" t="s">
        <v>193</v>
      </c>
      <c r="G24" s="23" t="s">
        <v>572</v>
      </c>
      <c r="H24" s="23" t="s">
        <v>573</v>
      </c>
      <c r="I24" s="23" t="s">
        <v>574</v>
      </c>
      <c r="J24" s="23" t="s">
        <v>575</v>
      </c>
      <c r="K24" s="23" t="s">
        <v>576</v>
      </c>
      <c r="L24" s="23" t="s">
        <v>555</v>
      </c>
      <c r="M24" s="23" t="s">
        <v>577</v>
      </c>
    </row>
    <row r="25" customFormat="false" ht="91.5" hidden="false" customHeight="true" outlineLevel="0" collapsed="false">
      <c r="A25" s="23" t="n">
        <v>22</v>
      </c>
      <c r="B25" s="24" t="n">
        <v>46475</v>
      </c>
      <c r="C25" s="23" t="s">
        <v>168</v>
      </c>
      <c r="D25" s="26" t="s">
        <v>578</v>
      </c>
      <c r="E25" s="23" t="s">
        <v>197</v>
      </c>
      <c r="F25" s="23" t="s">
        <v>198</v>
      </c>
      <c r="G25" s="23" t="s">
        <v>579</v>
      </c>
      <c r="H25" s="23" t="s">
        <v>580</v>
      </c>
      <c r="I25" s="23" t="s">
        <v>581</v>
      </c>
      <c r="J25" s="23" t="s">
        <v>582</v>
      </c>
      <c r="K25" s="23" t="s">
        <v>583</v>
      </c>
      <c r="L25" s="23" t="s">
        <v>555</v>
      </c>
      <c r="M25" s="23" t="s">
        <v>584</v>
      </c>
    </row>
    <row r="26" customFormat="false" ht="91.5" hidden="false" customHeight="true" outlineLevel="0" collapsed="false">
      <c r="A26" s="23" t="n">
        <v>23</v>
      </c>
      <c r="B26" s="24" t="n">
        <v>46482</v>
      </c>
      <c r="C26" s="23" t="s">
        <v>203</v>
      </c>
      <c r="D26" s="26" t="s">
        <v>585</v>
      </c>
      <c r="E26" s="23" t="s">
        <v>205</v>
      </c>
      <c r="F26" s="23" t="s">
        <v>206</v>
      </c>
      <c r="G26" s="23" t="s">
        <v>586</v>
      </c>
      <c r="H26" s="23" t="s">
        <v>587</v>
      </c>
      <c r="I26" s="23" t="s">
        <v>588</v>
      </c>
      <c r="J26" s="23" t="s">
        <v>589</v>
      </c>
      <c r="K26" s="23" t="s">
        <v>590</v>
      </c>
      <c r="L26" s="23" t="s">
        <v>555</v>
      </c>
      <c r="M26" s="23" t="s">
        <v>591</v>
      </c>
    </row>
    <row r="27" customFormat="false" ht="91.5" hidden="false" customHeight="true" outlineLevel="0" collapsed="false">
      <c r="A27" s="23" t="n">
        <v>24</v>
      </c>
      <c r="B27" s="24" t="n">
        <v>46489</v>
      </c>
      <c r="C27" s="23" t="s">
        <v>203</v>
      </c>
      <c r="D27" s="26" t="s">
        <v>592</v>
      </c>
      <c r="E27" s="23" t="s">
        <v>211</v>
      </c>
      <c r="F27" s="23" t="s">
        <v>212</v>
      </c>
      <c r="G27" s="23" t="s">
        <v>593</v>
      </c>
      <c r="H27" s="23" t="s">
        <v>594</v>
      </c>
      <c r="I27" s="23" t="s">
        <v>595</v>
      </c>
      <c r="J27" s="23" t="s">
        <v>596</v>
      </c>
      <c r="K27" s="23" t="s">
        <v>597</v>
      </c>
      <c r="L27" s="23" t="s">
        <v>555</v>
      </c>
      <c r="M27" s="23" t="s">
        <v>598</v>
      </c>
    </row>
    <row r="28" customFormat="false" ht="91.5" hidden="false" customHeight="true" outlineLevel="0" collapsed="false">
      <c r="A28" s="23" t="n">
        <v>25</v>
      </c>
      <c r="B28" s="24" t="n">
        <v>46496</v>
      </c>
      <c r="C28" s="23" t="s">
        <v>203</v>
      </c>
      <c r="D28" s="26" t="s">
        <v>599</v>
      </c>
      <c r="E28" s="23" t="s">
        <v>217</v>
      </c>
      <c r="F28" s="23" t="s">
        <v>218</v>
      </c>
      <c r="G28" s="23" t="s">
        <v>600</v>
      </c>
      <c r="H28" s="23" t="s">
        <v>601</v>
      </c>
      <c r="I28" s="23" t="s">
        <v>602</v>
      </c>
      <c r="J28" s="23" t="s">
        <v>603</v>
      </c>
      <c r="K28" s="23" t="s">
        <v>604</v>
      </c>
      <c r="L28" s="23" t="s">
        <v>555</v>
      </c>
      <c r="M28" s="23" t="s">
        <v>605</v>
      </c>
    </row>
    <row r="29" customFormat="false" ht="91.5" hidden="false" customHeight="true" outlineLevel="0" collapsed="false">
      <c r="A29" s="23" t="n">
        <v>26</v>
      </c>
      <c r="B29" s="24" t="n">
        <v>46503</v>
      </c>
      <c r="C29" s="23" t="s">
        <v>203</v>
      </c>
      <c r="D29" s="26" t="s">
        <v>606</v>
      </c>
      <c r="E29" s="23" t="s">
        <v>223</v>
      </c>
      <c r="F29" s="23" t="s">
        <v>224</v>
      </c>
      <c r="G29" s="23" t="s">
        <v>607</v>
      </c>
      <c r="H29" s="23" t="s">
        <v>608</v>
      </c>
      <c r="I29" s="23" t="s">
        <v>609</v>
      </c>
      <c r="J29" s="23" t="s">
        <v>610</v>
      </c>
      <c r="K29" s="23" t="s">
        <v>611</v>
      </c>
      <c r="L29" s="23" t="s">
        <v>555</v>
      </c>
      <c r="M29" s="23" t="s">
        <v>612</v>
      </c>
    </row>
    <row r="30" customFormat="false" ht="91.5" hidden="false" customHeight="true" outlineLevel="0" collapsed="false">
      <c r="A30" s="29" t="n">
        <v>27</v>
      </c>
      <c r="B30" s="30" t="n">
        <v>46510</v>
      </c>
      <c r="C30" s="29" t="s">
        <v>231</v>
      </c>
      <c r="D30" s="32" t="s">
        <v>613</v>
      </c>
      <c r="E30" s="29" t="s">
        <v>232</v>
      </c>
      <c r="F30" s="29" t="s">
        <v>233</v>
      </c>
      <c r="G30" s="29" t="s">
        <v>614</v>
      </c>
      <c r="H30" s="29" t="s">
        <v>615</v>
      </c>
      <c r="I30" s="29" t="s">
        <v>616</v>
      </c>
      <c r="J30" s="29" t="s">
        <v>617</v>
      </c>
      <c r="K30" s="29" t="s">
        <v>618</v>
      </c>
      <c r="L30" s="29" t="s">
        <v>555</v>
      </c>
      <c r="M30" s="29" t="s">
        <v>619</v>
      </c>
    </row>
    <row r="31" customFormat="false" ht="91.5" hidden="false" customHeight="true" outlineLevel="0" collapsed="false">
      <c r="A31" s="29" t="n">
        <v>28</v>
      </c>
      <c r="B31" s="30" t="n">
        <v>46517</v>
      </c>
      <c r="C31" s="29" t="s">
        <v>231</v>
      </c>
      <c r="D31" s="32" t="s">
        <v>571</v>
      </c>
      <c r="E31" s="29" t="s">
        <v>192</v>
      </c>
      <c r="F31" s="29" t="s">
        <v>240</v>
      </c>
      <c r="G31" s="29" t="s">
        <v>620</v>
      </c>
      <c r="H31" s="29" t="s">
        <v>621</v>
      </c>
      <c r="I31" s="29" t="s">
        <v>622</v>
      </c>
      <c r="J31" s="29" t="s">
        <v>623</v>
      </c>
      <c r="K31" s="29" t="s">
        <v>624</v>
      </c>
      <c r="L31" s="29" t="s">
        <v>555</v>
      </c>
      <c r="M31" s="29" t="s">
        <v>625</v>
      </c>
    </row>
    <row r="32" customFormat="false" ht="91.5" hidden="false" customHeight="true" outlineLevel="0" collapsed="false">
      <c r="A32" s="29" t="n">
        <v>29</v>
      </c>
      <c r="B32" s="30" t="n">
        <v>46524</v>
      </c>
      <c r="C32" s="29" t="s">
        <v>231</v>
      </c>
      <c r="D32" s="32" t="s">
        <v>626</v>
      </c>
      <c r="E32" s="29" t="s">
        <v>242</v>
      </c>
      <c r="F32" s="29" t="s">
        <v>243</v>
      </c>
      <c r="G32" s="29" t="s">
        <v>627</v>
      </c>
      <c r="H32" s="29" t="s">
        <v>628</v>
      </c>
      <c r="I32" s="29" t="s">
        <v>629</v>
      </c>
      <c r="J32" s="29" t="s">
        <v>630</v>
      </c>
      <c r="K32" s="29" t="s">
        <v>631</v>
      </c>
      <c r="L32" s="29" t="s">
        <v>555</v>
      </c>
      <c r="M32" s="29" t="s">
        <v>632</v>
      </c>
    </row>
    <row r="33" customFormat="false" ht="91.5" hidden="false" customHeight="true" outlineLevel="0" collapsed="false">
      <c r="A33" s="29" t="n">
        <v>30</v>
      </c>
      <c r="B33" s="30" t="n">
        <v>46531</v>
      </c>
      <c r="C33" s="29" t="s">
        <v>231</v>
      </c>
      <c r="D33" s="32" t="s">
        <v>633</v>
      </c>
      <c r="E33" s="29" t="s">
        <v>242</v>
      </c>
      <c r="F33" s="29" t="s">
        <v>247</v>
      </c>
      <c r="G33" s="29" t="s">
        <v>634</v>
      </c>
      <c r="H33" s="29" t="s">
        <v>635</v>
      </c>
      <c r="I33" s="29" t="s">
        <v>636</v>
      </c>
      <c r="J33" s="29" t="s">
        <v>637</v>
      </c>
      <c r="K33" s="29" t="s">
        <v>638</v>
      </c>
      <c r="L33" s="29" t="s">
        <v>555</v>
      </c>
      <c r="M33" s="29" t="s">
        <v>639</v>
      </c>
    </row>
    <row r="34" customFormat="false" ht="91.5" hidden="false" customHeight="true" outlineLevel="0" collapsed="false">
      <c r="A34" s="29" t="n">
        <v>31</v>
      </c>
      <c r="B34" s="30" t="n">
        <v>46538</v>
      </c>
      <c r="C34" s="29" t="s">
        <v>231</v>
      </c>
      <c r="D34" s="32" t="s">
        <v>640</v>
      </c>
      <c r="E34" s="29" t="s">
        <v>251</v>
      </c>
      <c r="F34" s="29" t="s">
        <v>252</v>
      </c>
      <c r="G34" s="29" t="s">
        <v>641</v>
      </c>
      <c r="H34" s="29" t="s">
        <v>642</v>
      </c>
      <c r="I34" s="29" t="s">
        <v>643</v>
      </c>
      <c r="J34" s="29" t="s">
        <v>644</v>
      </c>
      <c r="K34" s="29" t="s">
        <v>645</v>
      </c>
      <c r="L34" s="29" t="s">
        <v>555</v>
      </c>
      <c r="M34" s="29" t="s">
        <v>646</v>
      </c>
    </row>
    <row r="35" customFormat="false" ht="91.5" hidden="false" customHeight="true" outlineLevel="0" collapsed="false">
      <c r="A35" s="29" t="n">
        <v>32</v>
      </c>
      <c r="B35" s="30" t="n">
        <v>46545</v>
      </c>
      <c r="C35" s="29" t="s">
        <v>231</v>
      </c>
      <c r="D35" s="32" t="s">
        <v>647</v>
      </c>
      <c r="E35" s="29" t="s">
        <v>257</v>
      </c>
      <c r="F35" s="29" t="s">
        <v>258</v>
      </c>
      <c r="G35" s="29" t="s">
        <v>648</v>
      </c>
      <c r="H35" s="29" t="s">
        <v>649</v>
      </c>
      <c r="I35" s="29" t="s">
        <v>650</v>
      </c>
      <c r="J35" s="29" t="s">
        <v>651</v>
      </c>
      <c r="K35" s="29" t="s">
        <v>652</v>
      </c>
      <c r="L35" s="29" t="s">
        <v>555</v>
      </c>
      <c r="M35" s="29" t="s">
        <v>653</v>
      </c>
    </row>
    <row r="36" customFormat="false" ht="91.5" hidden="false" customHeight="true" outlineLevel="0" collapsed="false">
      <c r="A36" s="29" t="n">
        <v>33</v>
      </c>
      <c r="B36" s="30" t="n">
        <v>46552</v>
      </c>
      <c r="C36" s="29" t="s">
        <v>231</v>
      </c>
      <c r="D36" s="32" t="s">
        <v>654</v>
      </c>
      <c r="E36" s="29" t="s">
        <v>261</v>
      </c>
      <c r="F36" s="29" t="s">
        <v>262</v>
      </c>
      <c r="G36" s="29" t="s">
        <v>655</v>
      </c>
      <c r="H36" s="29" t="s">
        <v>656</v>
      </c>
      <c r="I36" s="29" t="s">
        <v>657</v>
      </c>
      <c r="J36" s="29" t="s">
        <v>658</v>
      </c>
      <c r="K36" s="29" t="s">
        <v>659</v>
      </c>
      <c r="L36" s="29" t="s">
        <v>555</v>
      </c>
      <c r="M36" s="29" t="s">
        <v>660</v>
      </c>
    </row>
    <row r="37" customFormat="false" ht="91.5" hidden="false" customHeight="true" outlineLevel="0" collapsed="false">
      <c r="A37" s="29" t="n">
        <v>34</v>
      </c>
      <c r="B37" s="30" t="n">
        <v>46559</v>
      </c>
      <c r="C37" s="29" t="s">
        <v>231</v>
      </c>
      <c r="D37" s="32" t="s">
        <v>661</v>
      </c>
      <c r="E37" s="29" t="s">
        <v>122</v>
      </c>
      <c r="F37" s="29" t="s">
        <v>123</v>
      </c>
      <c r="G37" s="29" t="s">
        <v>662</v>
      </c>
      <c r="H37" s="29" t="s">
        <v>663</v>
      </c>
      <c r="I37" s="29" t="s">
        <v>664</v>
      </c>
      <c r="J37" s="29" t="s">
        <v>665</v>
      </c>
      <c r="K37" s="29" t="s">
        <v>666</v>
      </c>
      <c r="L37" s="29" t="s">
        <v>555</v>
      </c>
      <c r="M37" s="29" t="s">
        <v>667</v>
      </c>
    </row>
    <row r="38" customFormat="false" ht="91.5" hidden="false" customHeight="true" outlineLevel="0" collapsed="false">
      <c r="A38" s="29" t="n">
        <v>35</v>
      </c>
      <c r="B38" s="30" t="n">
        <v>46566</v>
      </c>
      <c r="C38" s="29" t="s">
        <v>231</v>
      </c>
      <c r="D38" s="32" t="s">
        <v>668</v>
      </c>
      <c r="E38" s="29" t="s">
        <v>197</v>
      </c>
      <c r="F38" s="29" t="s">
        <v>267</v>
      </c>
      <c r="G38" s="29" t="s">
        <v>669</v>
      </c>
      <c r="H38" s="29" t="s">
        <v>670</v>
      </c>
      <c r="I38" s="29" t="s">
        <v>671</v>
      </c>
      <c r="J38" s="29" t="s">
        <v>672</v>
      </c>
      <c r="K38" s="29" t="s">
        <v>624</v>
      </c>
      <c r="L38" s="29" t="s">
        <v>555</v>
      </c>
      <c r="M38" s="29" t="s">
        <v>584</v>
      </c>
    </row>
    <row r="39" customFormat="false" ht="91.5" hidden="false" customHeight="true" outlineLevel="0" collapsed="false">
      <c r="A39" s="37" t="n">
        <v>36</v>
      </c>
      <c r="B39" s="38" t="n">
        <v>46573</v>
      </c>
      <c r="C39" s="37" t="s">
        <v>273</v>
      </c>
      <c r="D39" s="40" t="s">
        <v>673</v>
      </c>
      <c r="E39" s="37" t="s">
        <v>275</v>
      </c>
      <c r="F39" s="37" t="s">
        <v>276</v>
      </c>
      <c r="G39" s="37" t="s">
        <v>674</v>
      </c>
      <c r="H39" s="37" t="s">
        <v>675</v>
      </c>
      <c r="I39" s="37" t="s">
        <v>676</v>
      </c>
      <c r="J39" s="37" t="s">
        <v>677</v>
      </c>
      <c r="K39" s="37" t="s">
        <v>678</v>
      </c>
      <c r="L39" s="37" t="s">
        <v>555</v>
      </c>
      <c r="M39" s="37" t="s">
        <v>679</v>
      </c>
    </row>
    <row r="40" customFormat="false" ht="91.5" hidden="false" customHeight="true" outlineLevel="0" collapsed="false">
      <c r="A40" s="37" t="n">
        <v>37</v>
      </c>
      <c r="B40" s="38" t="n">
        <v>46580</v>
      </c>
      <c r="C40" s="37" t="s">
        <v>273</v>
      </c>
      <c r="D40" s="40" t="s">
        <v>680</v>
      </c>
      <c r="E40" s="37" t="s">
        <v>279</v>
      </c>
      <c r="F40" s="37" t="s">
        <v>280</v>
      </c>
      <c r="G40" s="37" t="s">
        <v>681</v>
      </c>
      <c r="H40" s="37" t="s">
        <v>682</v>
      </c>
      <c r="I40" s="37" t="s">
        <v>616</v>
      </c>
      <c r="J40" s="37" t="s">
        <v>683</v>
      </c>
      <c r="K40" s="37" t="s">
        <v>684</v>
      </c>
      <c r="L40" s="37" t="s">
        <v>555</v>
      </c>
      <c r="M40" s="37" t="s">
        <v>685</v>
      </c>
    </row>
    <row r="41" customFormat="false" ht="91.5" hidden="false" customHeight="true" outlineLevel="0" collapsed="false">
      <c r="A41" s="37" t="n">
        <v>40</v>
      </c>
      <c r="B41" s="38" t="n">
        <v>46601</v>
      </c>
      <c r="C41" s="37" t="s">
        <v>273</v>
      </c>
      <c r="D41" s="40" t="s">
        <v>686</v>
      </c>
      <c r="E41" s="37" t="s">
        <v>287</v>
      </c>
      <c r="F41" s="37" t="s">
        <v>288</v>
      </c>
      <c r="G41" s="37" t="s">
        <v>687</v>
      </c>
      <c r="H41" s="37" t="s">
        <v>688</v>
      </c>
      <c r="I41" s="37" t="s">
        <v>616</v>
      </c>
      <c r="J41" s="37" t="s">
        <v>689</v>
      </c>
      <c r="K41" s="37" t="s">
        <v>666</v>
      </c>
      <c r="L41" s="37" t="s">
        <v>555</v>
      </c>
      <c r="M41" s="37" t="s">
        <v>690</v>
      </c>
    </row>
    <row r="42" customFormat="false" ht="91.5" hidden="false" customHeight="true" outlineLevel="0" collapsed="false">
      <c r="A42" s="37" t="n">
        <v>41</v>
      </c>
      <c r="B42" s="38" t="n">
        <v>46608</v>
      </c>
      <c r="C42" s="37" t="s">
        <v>273</v>
      </c>
      <c r="D42" s="40" t="s">
        <v>691</v>
      </c>
      <c r="E42" s="37" t="s">
        <v>295</v>
      </c>
      <c r="F42" s="37" t="s">
        <v>296</v>
      </c>
      <c r="G42" s="37" t="s">
        <v>692</v>
      </c>
      <c r="H42" s="37" t="s">
        <v>693</v>
      </c>
      <c r="I42" s="37" t="s">
        <v>694</v>
      </c>
      <c r="J42" s="37" t="s">
        <v>695</v>
      </c>
      <c r="K42" s="37" t="s">
        <v>696</v>
      </c>
      <c r="L42" s="37" t="s">
        <v>555</v>
      </c>
      <c r="M42" s="37" t="s">
        <v>697</v>
      </c>
    </row>
    <row r="43" customFormat="false" ht="91.5" hidden="false" customHeight="true" outlineLevel="0" collapsed="false">
      <c r="A43" s="37" t="n">
        <v>42</v>
      </c>
      <c r="B43" s="38" t="n">
        <v>46615</v>
      </c>
      <c r="C43" s="37" t="s">
        <v>273</v>
      </c>
      <c r="D43" s="40" t="s">
        <v>698</v>
      </c>
      <c r="E43" s="37" t="s">
        <v>298</v>
      </c>
      <c r="F43" s="37" t="s">
        <v>299</v>
      </c>
      <c r="G43" s="37" t="s">
        <v>699</v>
      </c>
      <c r="H43" s="37" t="s">
        <v>700</v>
      </c>
      <c r="I43" s="37" t="s">
        <v>694</v>
      </c>
      <c r="J43" s="37" t="s">
        <v>701</v>
      </c>
      <c r="K43" s="37" t="s">
        <v>702</v>
      </c>
      <c r="L43" s="37" t="s">
        <v>555</v>
      </c>
      <c r="M43" s="37" t="s">
        <v>703</v>
      </c>
    </row>
    <row r="44" customFormat="false" ht="91.5" hidden="false" customHeight="true" outlineLevel="0" collapsed="false">
      <c r="A44" s="37" t="n">
        <v>43</v>
      </c>
      <c r="B44" s="38" t="n">
        <v>46622</v>
      </c>
      <c r="C44" s="37" t="s">
        <v>273</v>
      </c>
      <c r="D44" s="40" t="s">
        <v>704</v>
      </c>
      <c r="E44" s="37" t="s">
        <v>301</v>
      </c>
      <c r="F44" s="37" t="s">
        <v>302</v>
      </c>
      <c r="G44" s="37" t="s">
        <v>705</v>
      </c>
      <c r="H44" s="37" t="s">
        <v>706</v>
      </c>
      <c r="I44" s="37" t="s">
        <v>694</v>
      </c>
      <c r="J44" s="37" t="s">
        <v>644</v>
      </c>
      <c r="K44" s="37" t="s">
        <v>707</v>
      </c>
      <c r="L44" s="37" t="s">
        <v>555</v>
      </c>
      <c r="M44" s="37" t="s">
        <v>708</v>
      </c>
    </row>
    <row r="45" customFormat="false" ht="91.5" hidden="false" customHeight="true" outlineLevel="0" collapsed="false">
      <c r="A45" s="37" t="n">
        <v>44</v>
      </c>
      <c r="B45" s="38" t="n">
        <v>46629</v>
      </c>
      <c r="C45" s="37" t="s">
        <v>273</v>
      </c>
      <c r="D45" s="40" t="s">
        <v>709</v>
      </c>
      <c r="E45" s="37" t="s">
        <v>304</v>
      </c>
      <c r="F45" s="37" t="s">
        <v>305</v>
      </c>
      <c r="G45" s="37" t="s">
        <v>710</v>
      </c>
      <c r="H45" s="37" t="s">
        <v>656</v>
      </c>
      <c r="I45" s="37" t="s">
        <v>657</v>
      </c>
      <c r="J45" s="37" t="s">
        <v>658</v>
      </c>
      <c r="K45" s="37" t="s">
        <v>707</v>
      </c>
      <c r="L45" s="37" t="s">
        <v>555</v>
      </c>
      <c r="M45" s="37" t="s">
        <v>711</v>
      </c>
    </row>
    <row r="46" customFormat="false" ht="91.5" hidden="false" customHeight="true" outlineLevel="0" collapsed="false">
      <c r="A46" s="29" t="n">
        <v>45</v>
      </c>
      <c r="B46" s="30" t="n">
        <v>46636</v>
      </c>
      <c r="C46" s="29" t="s">
        <v>310</v>
      </c>
      <c r="D46" s="32" t="s">
        <v>712</v>
      </c>
      <c r="E46" s="29" t="s">
        <v>312</v>
      </c>
      <c r="F46" s="29" t="s">
        <v>313</v>
      </c>
      <c r="G46" s="29" t="s">
        <v>713</v>
      </c>
      <c r="H46" s="29" t="s">
        <v>714</v>
      </c>
      <c r="I46" s="29" t="s">
        <v>616</v>
      </c>
      <c r="J46" s="29" t="s">
        <v>715</v>
      </c>
      <c r="K46" s="29" t="s">
        <v>716</v>
      </c>
      <c r="L46" s="29" t="s">
        <v>555</v>
      </c>
      <c r="M46" s="29" t="s">
        <v>717</v>
      </c>
    </row>
    <row r="47" customFormat="false" ht="91.5" hidden="false" customHeight="true" outlineLevel="0" collapsed="false">
      <c r="A47" s="29" t="n">
        <v>46</v>
      </c>
      <c r="B47" s="30" t="n">
        <v>46643</v>
      </c>
      <c r="C47" s="29" t="s">
        <v>310</v>
      </c>
      <c r="D47" s="32" t="s">
        <v>718</v>
      </c>
      <c r="E47" s="29" t="s">
        <v>317</v>
      </c>
      <c r="F47" s="29" t="s">
        <v>318</v>
      </c>
      <c r="G47" s="29" t="s">
        <v>719</v>
      </c>
      <c r="H47" s="29" t="s">
        <v>720</v>
      </c>
      <c r="I47" s="29" t="s">
        <v>694</v>
      </c>
      <c r="J47" s="29" t="s">
        <v>721</v>
      </c>
      <c r="K47" s="29" t="s">
        <v>716</v>
      </c>
      <c r="L47" s="29" t="s">
        <v>555</v>
      </c>
      <c r="M47" s="29" t="s">
        <v>722</v>
      </c>
    </row>
    <row r="48" customFormat="false" ht="91.5" hidden="false" customHeight="true" outlineLevel="0" collapsed="false">
      <c r="A48" s="29" t="n">
        <v>47</v>
      </c>
      <c r="B48" s="30" t="n">
        <v>46650</v>
      </c>
      <c r="C48" s="29" t="s">
        <v>310</v>
      </c>
      <c r="D48" s="32" t="s">
        <v>723</v>
      </c>
      <c r="E48" s="29" t="s">
        <v>320</v>
      </c>
      <c r="F48" s="29" t="s">
        <v>172</v>
      </c>
      <c r="G48" s="29" t="s">
        <v>724</v>
      </c>
      <c r="H48" s="29" t="s">
        <v>649</v>
      </c>
      <c r="I48" s="29" t="s">
        <v>650</v>
      </c>
      <c r="J48" s="29" t="s">
        <v>725</v>
      </c>
      <c r="K48" s="29" t="s">
        <v>666</v>
      </c>
      <c r="L48" s="29" t="s">
        <v>555</v>
      </c>
      <c r="M48" s="29" t="s">
        <v>653</v>
      </c>
    </row>
    <row r="49" customFormat="false" ht="91.5" hidden="false" customHeight="true" outlineLevel="0" collapsed="false">
      <c r="A49" s="29" t="n">
        <v>48</v>
      </c>
      <c r="B49" s="30" t="n">
        <v>46657</v>
      </c>
      <c r="C49" s="29" t="s">
        <v>310</v>
      </c>
      <c r="D49" s="32" t="s">
        <v>726</v>
      </c>
      <c r="E49" s="29" t="s">
        <v>92</v>
      </c>
      <c r="F49" s="29" t="s">
        <v>322</v>
      </c>
      <c r="G49" s="29" t="s">
        <v>727</v>
      </c>
      <c r="H49" s="29" t="s">
        <v>670</v>
      </c>
      <c r="I49" s="29" t="s">
        <v>728</v>
      </c>
      <c r="J49" s="29" t="s">
        <v>729</v>
      </c>
      <c r="K49" s="29" t="s">
        <v>666</v>
      </c>
      <c r="L49" s="29" t="s">
        <v>555</v>
      </c>
      <c r="M49" s="29" t="s">
        <v>730</v>
      </c>
    </row>
    <row r="50" customFormat="false" ht="91.5" hidden="false" customHeight="true" outlineLevel="0" collapsed="false">
      <c r="A50" s="29" t="n">
        <v>49</v>
      </c>
      <c r="B50" s="30" t="n">
        <v>46664</v>
      </c>
      <c r="C50" s="29" t="s">
        <v>310</v>
      </c>
      <c r="D50" s="32" t="s">
        <v>731</v>
      </c>
      <c r="E50" s="29" t="s">
        <v>325</v>
      </c>
      <c r="F50" s="29" t="s">
        <v>326</v>
      </c>
      <c r="G50" s="29" t="s">
        <v>732</v>
      </c>
      <c r="H50" s="29" t="s">
        <v>733</v>
      </c>
      <c r="I50" s="29" t="s">
        <v>327</v>
      </c>
      <c r="J50" s="29" t="s">
        <v>734</v>
      </c>
      <c r="K50" s="29" t="s">
        <v>666</v>
      </c>
      <c r="L50" s="29" t="s">
        <v>555</v>
      </c>
      <c r="M50" s="29" t="s">
        <v>735</v>
      </c>
    </row>
    <row r="51" customFormat="false" ht="91.5" hidden="false" customHeight="true" outlineLevel="0" collapsed="false">
      <c r="A51" s="29" t="n">
        <v>50</v>
      </c>
      <c r="B51" s="30" t="n">
        <v>46671</v>
      </c>
      <c r="C51" s="29" t="s">
        <v>310</v>
      </c>
      <c r="D51" s="32" t="s">
        <v>736</v>
      </c>
      <c r="E51" s="29" t="s">
        <v>330</v>
      </c>
      <c r="F51" s="29" t="s">
        <v>331</v>
      </c>
      <c r="G51" s="29" t="s">
        <v>737</v>
      </c>
      <c r="H51" s="29" t="s">
        <v>738</v>
      </c>
      <c r="I51" s="29" t="s">
        <v>616</v>
      </c>
      <c r="J51" s="29" t="s">
        <v>739</v>
      </c>
      <c r="K51" s="29" t="s">
        <v>666</v>
      </c>
      <c r="L51" s="29" t="s">
        <v>555</v>
      </c>
      <c r="M51" s="29" t="s">
        <v>740</v>
      </c>
    </row>
    <row r="52" customFormat="false" ht="91.5" hidden="false" customHeight="true" outlineLevel="0" collapsed="false">
      <c r="A52" s="29" t="n">
        <v>51</v>
      </c>
      <c r="B52" s="30" t="n">
        <v>46678</v>
      </c>
      <c r="C52" s="29" t="s">
        <v>310</v>
      </c>
      <c r="D52" s="32" t="s">
        <v>741</v>
      </c>
      <c r="E52" s="29" t="s">
        <v>105</v>
      </c>
      <c r="F52" s="29" t="s">
        <v>335</v>
      </c>
      <c r="G52" s="29" t="s">
        <v>105</v>
      </c>
      <c r="H52" s="29" t="s">
        <v>105</v>
      </c>
      <c r="I52" s="29" t="s">
        <v>105</v>
      </c>
      <c r="J52" s="29" t="s">
        <v>742</v>
      </c>
      <c r="K52" s="29" t="s">
        <v>105</v>
      </c>
      <c r="L52" s="29" t="s">
        <v>105</v>
      </c>
      <c r="M52" s="29" t="s">
        <v>105</v>
      </c>
    </row>
  </sheetData>
  <autoFilter ref="A4:M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48"/>
  </cols>
  <sheetData>
    <row r="1" customFormat="false" ht="19.7" hidden="false" customHeight="false" outlineLevel="0" collapsed="false">
      <c r="A1" s="1" t="s">
        <v>743</v>
      </c>
    </row>
    <row r="2" customFormat="false" ht="15" hidden="false" customHeight="false" outlineLevel="0" collapsed="false">
      <c r="A2" s="2" t="s">
        <v>744</v>
      </c>
    </row>
    <row r="4" customFormat="false" ht="31.5" hidden="false" customHeight="true" outlineLevel="0" collapsed="false">
      <c r="A4" s="10" t="s">
        <v>745</v>
      </c>
      <c r="B4" s="10" t="s">
        <v>746</v>
      </c>
      <c r="C4" s="10" t="s">
        <v>350</v>
      </c>
      <c r="D4" s="10" t="s">
        <v>747</v>
      </c>
      <c r="E4" s="10" t="s">
        <v>748</v>
      </c>
      <c r="F4" s="10" t="s">
        <v>749</v>
      </c>
      <c r="G4" s="10" t="s">
        <v>750</v>
      </c>
    </row>
    <row r="5" customFormat="false" ht="33.75" hidden="false" customHeight="true" outlineLevel="0" collapsed="false">
      <c r="A5" s="49" t="s">
        <v>751</v>
      </c>
      <c r="B5" s="50" t="s">
        <v>752</v>
      </c>
      <c r="C5" s="50" t="s">
        <v>753</v>
      </c>
      <c r="D5" s="50" t="s">
        <v>105</v>
      </c>
      <c r="E5" s="50" t="s">
        <v>105</v>
      </c>
      <c r="F5" s="50" t="s">
        <v>105</v>
      </c>
      <c r="G5" s="50" t="s">
        <v>754</v>
      </c>
    </row>
    <row r="6" customFormat="false" ht="33.75" hidden="false" customHeight="true" outlineLevel="0" collapsed="false">
      <c r="A6" s="49" t="s">
        <v>755</v>
      </c>
      <c r="B6" s="50" t="s">
        <v>756</v>
      </c>
      <c r="C6" s="50" t="s">
        <v>757</v>
      </c>
      <c r="D6" s="50" t="s">
        <v>758</v>
      </c>
      <c r="E6" s="50" t="s">
        <v>759</v>
      </c>
      <c r="F6" s="50" t="s">
        <v>760</v>
      </c>
      <c r="G6" s="50" t="s">
        <v>761</v>
      </c>
    </row>
    <row r="7" customFormat="false" ht="33.75" hidden="false" customHeight="true" outlineLevel="0" collapsed="false">
      <c r="A7" s="49" t="s">
        <v>762</v>
      </c>
      <c r="B7" s="50" t="s">
        <v>763</v>
      </c>
      <c r="C7" s="50" t="s">
        <v>764</v>
      </c>
      <c r="D7" s="50" t="s">
        <v>765</v>
      </c>
      <c r="E7" s="50" t="s">
        <v>766</v>
      </c>
      <c r="F7" s="50" t="s">
        <v>767</v>
      </c>
      <c r="G7" s="50" t="s">
        <v>768</v>
      </c>
    </row>
    <row r="8" customFormat="false" ht="33.75" hidden="false" customHeight="true" outlineLevel="0" collapsed="false">
      <c r="A8" s="49" t="s">
        <v>769</v>
      </c>
      <c r="B8" s="50" t="s">
        <v>770</v>
      </c>
      <c r="C8" s="50" t="s">
        <v>771</v>
      </c>
      <c r="D8" s="50" t="s">
        <v>772</v>
      </c>
      <c r="E8" s="50" t="s">
        <v>773</v>
      </c>
      <c r="F8" s="50" t="s">
        <v>767</v>
      </c>
      <c r="G8" s="50" t="s">
        <v>774</v>
      </c>
    </row>
    <row r="9" customFormat="false" ht="33.75" hidden="false" customHeight="true" outlineLevel="0" collapsed="false">
      <c r="A9" s="49" t="s">
        <v>775</v>
      </c>
      <c r="B9" s="50" t="s">
        <v>776</v>
      </c>
      <c r="C9" s="50" t="s">
        <v>777</v>
      </c>
      <c r="D9" s="50" t="s">
        <v>778</v>
      </c>
      <c r="E9" s="50" t="s">
        <v>779</v>
      </c>
      <c r="F9" s="50" t="s">
        <v>780</v>
      </c>
      <c r="G9" s="50" t="s">
        <v>781</v>
      </c>
    </row>
    <row r="10" customFormat="false" ht="33.75" hidden="false" customHeight="true" outlineLevel="0" collapsed="false">
      <c r="A10" s="49" t="s">
        <v>782</v>
      </c>
      <c r="B10" s="50" t="s">
        <v>783</v>
      </c>
      <c r="C10" s="50" t="s">
        <v>753</v>
      </c>
      <c r="D10" s="50" t="s">
        <v>105</v>
      </c>
      <c r="E10" s="50" t="s">
        <v>105</v>
      </c>
      <c r="F10" s="50" t="s">
        <v>105</v>
      </c>
      <c r="G10" s="50" t="s">
        <v>784</v>
      </c>
    </row>
    <row r="11" customFormat="false" ht="33.75" hidden="false" customHeight="true" outlineLevel="0" collapsed="false">
      <c r="A11" s="49" t="s">
        <v>785</v>
      </c>
      <c r="B11" s="50" t="s">
        <v>786</v>
      </c>
      <c r="C11" s="50" t="s">
        <v>787</v>
      </c>
      <c r="D11" s="50" t="s">
        <v>666</v>
      </c>
      <c r="E11" s="50" t="s">
        <v>105</v>
      </c>
      <c r="F11" s="50" t="s">
        <v>105</v>
      </c>
      <c r="G11" s="50" t="s">
        <v>788</v>
      </c>
    </row>
    <row r="13" customFormat="false" ht="15" hidden="false" customHeight="false" outlineLevel="0" collapsed="false">
      <c r="A13" s="56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790</v>
      </c>
    </row>
    <row r="2" customFormat="false" ht="15" hidden="false" customHeight="false" outlineLevel="0" collapsed="false">
      <c r="A2" s="2" t="s">
        <v>791</v>
      </c>
    </row>
    <row r="4" customFormat="false" ht="31.5" hidden="false" customHeight="true" outlineLevel="0" collapsed="false">
      <c r="A4" s="10" t="s">
        <v>36</v>
      </c>
      <c r="B4" s="10" t="s">
        <v>792</v>
      </c>
      <c r="D4" s="57" t="s">
        <v>35</v>
      </c>
      <c r="E4" s="57" t="s">
        <v>793</v>
      </c>
      <c r="F4" s="57" t="s">
        <v>794</v>
      </c>
      <c r="G4" s="57" t="s">
        <v>795</v>
      </c>
    </row>
    <row r="5" customFormat="false" ht="15" hidden="false" customHeight="false" outlineLevel="0" collapsed="false">
      <c r="A5" s="58" t="s">
        <v>51</v>
      </c>
      <c r="B5" s="58" t="n">
        <f aca="false">COUNTIF('Year Plan'!$D$5:$D$56,A5)</f>
        <v>9</v>
      </c>
      <c r="D5" s="58" t="s">
        <v>50</v>
      </c>
      <c r="E5" s="59" t="n">
        <f aca="false">IFERROR(AVERAGEIF('Year Plan'!$C$5:$C$56,D5,'Year Plan'!$P$5:$P$56),0)</f>
        <v>3</v>
      </c>
      <c r="F5" s="59" t="n">
        <f aca="false">IFERROR(AVERAGEIF('Year Plan'!$C$5:$C$56,D5,'Year Plan'!$Q$5:$Q$56),0)</f>
        <v>2</v>
      </c>
      <c r="G5" s="58" t="n">
        <f aca="false">COUNTIFS('Year Plan'!$C$5:$C$56,D5,'Year Plan'!$P$5:$P$56,"&gt;0")</f>
        <v>5</v>
      </c>
    </row>
    <row r="6" customFormat="false" ht="15" hidden="false" customHeight="false" outlineLevel="0" collapsed="false">
      <c r="A6" s="58" t="s">
        <v>112</v>
      </c>
      <c r="B6" s="58" t="n">
        <f aca="false">COUNTIF('Year Plan'!$D$5:$D$56,A6)</f>
        <v>8</v>
      </c>
      <c r="D6" s="58" t="s">
        <v>88</v>
      </c>
      <c r="E6" s="59" t="n">
        <f aca="false">IFERROR(AVERAGEIF('Year Plan'!$C$5:$C$56,D6,'Year Plan'!$P$5:$P$56),0)</f>
        <v>2</v>
      </c>
      <c r="F6" s="59" t="n">
        <f aca="false">IFERROR(AVERAGEIF('Year Plan'!$C$5:$C$56,D6,'Year Plan'!$Q$5:$Q$56),0)</f>
        <v>1.5</v>
      </c>
      <c r="G6" s="58" t="n">
        <f aca="false">COUNTIFS('Year Plan'!$C$5:$C$56,D6,'Year Plan'!$P$5:$P$56,"&gt;0")</f>
        <v>3</v>
      </c>
    </row>
    <row r="7" customFormat="false" ht="15" hidden="false" customHeight="false" outlineLevel="0" collapsed="false">
      <c r="A7" s="58" t="s">
        <v>167</v>
      </c>
      <c r="B7" s="58" t="n">
        <f aca="false">COUNTIF('Year Plan'!$D$5:$D$56,A7)</f>
        <v>9</v>
      </c>
      <c r="D7" s="58" t="s">
        <v>111</v>
      </c>
      <c r="E7" s="59" t="n">
        <f aca="false">IFERROR(AVERAGEIF('Year Plan'!$C$5:$C$56,D7,'Year Plan'!$P$5:$P$56),0)</f>
        <v>3.5</v>
      </c>
      <c r="F7" s="59" t="n">
        <f aca="false">IFERROR(AVERAGEIF('Year Plan'!$C$5:$C$56,D7,'Year Plan'!$Q$5:$Q$56),0)</f>
        <v>3</v>
      </c>
      <c r="G7" s="58" t="n">
        <f aca="false">COUNTIFS('Year Plan'!$C$5:$C$56,D7,'Year Plan'!$P$5:$P$56,"&gt;0")</f>
        <v>4</v>
      </c>
    </row>
    <row r="8" customFormat="false" ht="15" hidden="false" customHeight="false" outlineLevel="0" collapsed="false">
      <c r="A8" s="58" t="s">
        <v>230</v>
      </c>
      <c r="B8" s="58" t="n">
        <f aca="false">COUNTIF('Year Plan'!$D$5:$D$56,A8)</f>
        <v>9</v>
      </c>
      <c r="D8" s="58" t="s">
        <v>138</v>
      </c>
      <c r="E8" s="59" t="n">
        <f aca="false">IFERROR(AVERAGEIF('Year Plan'!$C$5:$C$56,D8,'Year Plan'!$P$5:$P$56),0)</f>
        <v>3.5</v>
      </c>
      <c r="F8" s="59" t="n">
        <f aca="false">IFERROR(AVERAGEIF('Year Plan'!$C$5:$C$56,D8,'Year Plan'!$Q$5:$Q$56),0)</f>
        <v>3.5</v>
      </c>
      <c r="G8" s="58" t="n">
        <f aca="false">COUNTIFS('Year Plan'!$C$5:$C$56,D8,'Year Plan'!$P$5:$P$56,"&gt;0")</f>
        <v>4</v>
      </c>
    </row>
    <row r="9" customFormat="false" ht="15" hidden="false" customHeight="false" outlineLevel="0" collapsed="false">
      <c r="A9" s="58" t="s">
        <v>272</v>
      </c>
      <c r="B9" s="58" t="n">
        <f aca="false">COUNTIF('Year Plan'!$D$5:$D$56,A9)</f>
        <v>9</v>
      </c>
      <c r="D9" s="58" t="s">
        <v>166</v>
      </c>
      <c r="E9" s="59" t="n">
        <f aca="false">IFERROR(AVERAGEIF('Year Plan'!$C$5:$C$56,D9,'Year Plan'!$P$5:$P$56),0)</f>
        <v>4.5</v>
      </c>
      <c r="F9" s="59" t="n">
        <f aca="false">IFERROR(AVERAGEIF('Year Plan'!$C$5:$C$56,D9,'Year Plan'!$Q$5:$Q$56),0)</f>
        <v>3.5</v>
      </c>
      <c r="G9" s="58" t="n">
        <f aca="false">COUNTIFS('Year Plan'!$C$5:$C$56,D9,'Year Plan'!$P$5:$P$56,"&gt;0")</f>
        <v>5</v>
      </c>
    </row>
    <row r="10" customFormat="false" ht="15" hidden="false" customHeight="false" outlineLevel="0" collapsed="false">
      <c r="A10" s="58" t="s">
        <v>309</v>
      </c>
      <c r="B10" s="58" t="n">
        <f aca="false">COUNTIF('Year Plan'!$D$5:$D$56,A10)</f>
        <v>7</v>
      </c>
      <c r="D10" s="58" t="s">
        <v>202</v>
      </c>
      <c r="E10" s="59" t="n">
        <f aca="false">IFERROR(AVERAGEIF('Year Plan'!$C$5:$C$56,D10,'Year Plan'!$P$5:$P$56),0)</f>
        <v>3.5</v>
      </c>
      <c r="F10" s="59" t="n">
        <f aca="false">IFERROR(AVERAGEIF('Year Plan'!$C$5:$C$56,D10,'Year Plan'!$Q$5:$Q$56),0)</f>
        <v>4</v>
      </c>
      <c r="G10" s="58" t="n">
        <f aca="false">COUNTIFS('Year Plan'!$C$5:$C$56,D10,'Year Plan'!$P$5:$P$56,"&gt;0")</f>
        <v>4</v>
      </c>
    </row>
    <row r="11" customFormat="false" ht="15" hidden="false" customHeight="false" outlineLevel="0" collapsed="false">
      <c r="A11" s="58" t="s">
        <v>337</v>
      </c>
      <c r="B11" s="58" t="n">
        <f aca="false">COUNTIF('Year Plan'!$D$5:$D$56,A11)</f>
        <v>1</v>
      </c>
      <c r="D11" s="58" t="s">
        <v>229</v>
      </c>
      <c r="E11" s="59" t="n">
        <f aca="false">IFERROR(AVERAGEIF('Year Plan'!$C$5:$C$56,D11,'Year Plan'!$P$5:$P$56),0)</f>
        <v>3</v>
      </c>
      <c r="F11" s="59" t="n">
        <f aca="false">IFERROR(AVERAGEIF('Year Plan'!$C$5:$C$56,D11,'Year Plan'!$Q$5:$Q$56),0)</f>
        <v>4.5</v>
      </c>
      <c r="G11" s="58" t="n">
        <f aca="false">COUNTIFS('Year Plan'!$C$5:$C$56,D11,'Year Plan'!$P$5:$P$56,"&gt;0")</f>
        <v>5</v>
      </c>
    </row>
    <row r="12" customFormat="false" ht="15" hidden="false" customHeight="false" outlineLevel="0" collapsed="false">
      <c r="A12" s="5" t="s">
        <v>796</v>
      </c>
      <c r="B12" s="5" t="n">
        <f aca="false">SUM(B5:B11)</f>
        <v>52</v>
      </c>
      <c r="D12" s="58" t="s">
        <v>256</v>
      </c>
      <c r="E12" s="59" t="n">
        <f aca="false">IFERROR(AVERAGEIF('Year Plan'!$C$5:$C$56,D12,'Year Plan'!$P$5:$P$56),0)</f>
        <v>3</v>
      </c>
      <c r="F12" s="59" t="n">
        <f aca="false">IFERROR(AVERAGEIF('Year Plan'!$C$5:$C$56,D12,'Year Plan'!$Q$5:$Q$56),0)</f>
        <v>4.5</v>
      </c>
      <c r="G12" s="58" t="n">
        <f aca="false">COUNTIFS('Year Plan'!$C$5:$C$56,D12,'Year Plan'!$P$5:$P$56,"&gt;0")</f>
        <v>4</v>
      </c>
    </row>
    <row r="13" customFormat="false" ht="15" hidden="false" customHeight="false" outlineLevel="0" collapsed="false">
      <c r="D13" s="58" t="s">
        <v>271</v>
      </c>
      <c r="E13" s="59" t="n">
        <f aca="false">IFERROR(AVERAGEIF('Year Plan'!$C$5:$C$56,D13,'Year Plan'!$P$5:$P$56),0)</f>
        <v>1.25</v>
      </c>
      <c r="F13" s="59" t="n">
        <f aca="false">IFERROR(AVERAGEIF('Year Plan'!$C$5:$C$56,D13,'Year Plan'!$Q$5:$Q$56),0)</f>
        <v>2</v>
      </c>
      <c r="G13" s="58" t="n">
        <f aca="false">COUNTIFS('Year Plan'!$C$5:$C$56,D13,'Year Plan'!$P$5:$P$56,"&gt;0")</f>
        <v>2</v>
      </c>
    </row>
    <row r="14" customFormat="false" ht="15" hidden="false" customHeight="false" outlineLevel="0" collapsed="false">
      <c r="D14" s="58" t="s">
        <v>286</v>
      </c>
      <c r="E14" s="59" t="n">
        <f aca="false">IFERROR(AVERAGEIF('Year Plan'!$C$5:$C$56,D14,'Year Plan'!$P$5:$P$56),0)</f>
        <v>3.5</v>
      </c>
      <c r="F14" s="59" t="n">
        <f aca="false">IFERROR(AVERAGEIF('Year Plan'!$C$5:$C$56,D14,'Year Plan'!$Q$5:$Q$56),0)</f>
        <v>4</v>
      </c>
      <c r="G14" s="58" t="n">
        <f aca="false">COUNTIFS('Year Plan'!$C$5:$C$56,D14,'Year Plan'!$P$5:$P$56,"&gt;0")</f>
        <v>5</v>
      </c>
    </row>
    <row r="15" customFormat="false" ht="15" hidden="false" customHeight="false" outlineLevel="0" collapsed="false">
      <c r="D15" s="58" t="s">
        <v>308</v>
      </c>
      <c r="E15" s="59" t="n">
        <f aca="false">IFERROR(AVERAGEIF('Year Plan'!$C$5:$C$56,D15,'Year Plan'!$P$5:$P$56),0)</f>
        <v>3</v>
      </c>
      <c r="F15" s="59" t="n">
        <f aca="false">IFERROR(AVERAGEIF('Year Plan'!$C$5:$C$56,D15,'Year Plan'!$Q$5:$Q$56),0)</f>
        <v>4.5</v>
      </c>
      <c r="G15" s="58" t="n">
        <f aca="false">COUNTIFS('Year Plan'!$C$5:$C$56,D15,'Year Plan'!$P$5:$P$56,"&gt;0")</f>
        <v>4</v>
      </c>
    </row>
    <row r="16" customFormat="false" ht="15" hidden="false" customHeight="false" outlineLevel="0" collapsed="false">
      <c r="D16" s="58" t="s">
        <v>324</v>
      </c>
      <c r="E16" s="59" t="n">
        <f aca="false">IFERROR(AVERAGEIF('Year Plan'!$C$5:$C$56,D16,'Year Plan'!$P$5:$P$56),0)</f>
        <v>1.25</v>
      </c>
      <c r="F16" s="59" t="n">
        <f aca="false">IFERROR(AVERAGEIF('Year Plan'!$C$5:$C$56,D16,'Year Plan'!$Q$5:$Q$56),0)</f>
        <v>1.75</v>
      </c>
      <c r="G16" s="58" t="n">
        <f aca="false">COUNTIFS('Year Plan'!$C$5:$C$56,D16,'Year Plan'!$P$5:$P$56,"&gt;0")</f>
        <v>3</v>
      </c>
    </row>
    <row r="18" customFormat="false" ht="15" hidden="false" customHeight="false" outlineLevel="0" collapsed="false">
      <c r="D18" s="47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2026-10-27T19:13:05Z</dcterms:created>
  <dc:creator>openpyxl</dc:creator>
  <dc:description/>
  <dc:language>en-US</dc:language>
  <cp:lastModifiedBy/>
  <dcterms:modified xsi:type="dcterms:W3CDTF">2026-10-27T19:13:16Z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